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d\Documents\lab\presentation\icfd2026\pres\"/>
    </mc:Choice>
  </mc:AlternateContent>
  <xr:revisionPtr revIDLastSave="0" documentId="8_{B9E9576E-24E3-422D-99FB-A99CE734DE42}" xr6:coauthVersionLast="47" xr6:coauthVersionMax="47" xr10:uidLastSave="{00000000-0000-0000-0000-000000000000}"/>
  <bookViews>
    <workbookView xWindow="-28920" yWindow="-120" windowWidth="29040" windowHeight="16440" activeTab="1" xr2:uid="{7C24D8EF-E7A3-4EBF-AF4E-8C403CA078D6}"/>
  </bookViews>
  <sheets>
    <sheet name="Sheet1" sheetId="1" r:id="rId1"/>
    <sheet name="Sheet2" sheetId="2" r:id="rId2"/>
  </sheets>
  <definedNames>
    <definedName name="_xlnm._FilterDatabase" localSheetId="0" hidden="1">Sheet1!$A$1:$C$61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4" i="2"/>
  <c r="B13" i="2"/>
  <c r="B12" i="2"/>
  <c r="B10" i="2"/>
  <c r="B9" i="2"/>
  <c r="B7" i="2"/>
  <c r="B3" i="2"/>
  <c r="B2" i="2"/>
  <c r="B4" i="2"/>
  <c r="B5" i="2"/>
  <c r="B6" i="2"/>
  <c r="B8" i="2"/>
  <c r="B11" i="2"/>
  <c r="C58" i="1"/>
  <c r="C55" i="1"/>
  <c r="C53" i="1"/>
  <c r="C52" i="1"/>
  <c r="C51" i="1"/>
  <c r="C48" i="1"/>
  <c r="C47" i="1"/>
  <c r="C45" i="1"/>
  <c r="C44" i="1"/>
  <c r="C42" i="1"/>
  <c r="C40" i="1"/>
  <c r="C39" i="1"/>
  <c r="C38" i="1"/>
  <c r="C37" i="1"/>
  <c r="C35" i="1"/>
  <c r="C34" i="1"/>
  <c r="C33" i="1"/>
  <c r="C32" i="1"/>
  <c r="C30" i="1"/>
  <c r="C27" i="1"/>
  <c r="C25" i="1"/>
  <c r="C24" i="1"/>
  <c r="C21" i="1"/>
  <c r="C13" i="1"/>
  <c r="C12" i="1"/>
  <c r="C10" i="1"/>
  <c r="C9" i="1"/>
  <c r="C7" i="1"/>
  <c r="C6" i="1"/>
  <c r="C2" i="1"/>
  <c r="C3" i="1"/>
  <c r="C4" i="1"/>
  <c r="C5" i="1"/>
  <c r="C8" i="1"/>
  <c r="C11" i="1"/>
  <c r="C14" i="1"/>
  <c r="C15" i="1"/>
  <c r="C16" i="1"/>
  <c r="C17" i="1"/>
  <c r="C18" i="1"/>
  <c r="C19" i="1"/>
  <c r="C20" i="1"/>
  <c r="C22" i="1"/>
  <c r="C23" i="1"/>
  <c r="C26" i="1"/>
  <c r="C28" i="1"/>
  <c r="C29" i="1"/>
  <c r="C31" i="1"/>
  <c r="C36" i="1"/>
  <c r="C41" i="1"/>
  <c r="C43" i="1"/>
  <c r="C46" i="1"/>
  <c r="C49" i="1"/>
  <c r="C50" i="1"/>
  <c r="C54" i="1"/>
  <c r="C56" i="1"/>
  <c r="C57" i="1"/>
  <c r="C60" i="1"/>
  <c r="C61" i="1"/>
  <c r="C59" i="1"/>
</calcChain>
</file>

<file path=xl/sharedStrings.xml><?xml version="1.0" encoding="utf-8"?>
<sst xmlns="http://schemas.openxmlformats.org/spreadsheetml/2006/main" count="101" uniqueCount="100">
  <si>
    <t>Distance_(cm)</t>
  </si>
  <si>
    <t xml:space="preserve"> Flow_rate_Sens_2OH&lt;=&gt;O+H2O_GasRxn#4_()</t>
  </si>
  <si>
    <t xml:space="preserve"> Flow_rate_Sens_2H+M&lt;=&gt;H2+M_GasRxn#5_()</t>
  </si>
  <si>
    <t xml:space="preserve"> Flow_rate_Sens_O+H+M&lt;=&gt;OH+M_GasRxn#7_()</t>
  </si>
  <si>
    <t xml:space="preserve"> Flow_rate_Sens_H+HO2&lt;=&gt;H2+O2_GasRxn#10_()</t>
  </si>
  <si>
    <t xml:space="preserve"> Flow_rate_Sens_HO2+H&lt;=&gt;2OH_GasRxn#11_()</t>
  </si>
  <si>
    <t xml:space="preserve"> Flow_rate_Sens_HO2+OH&lt;=&gt;H2O+O2_GasRxn#13_()</t>
  </si>
  <si>
    <t xml:space="preserve"> Flow_rate_Sens_NH3+O&lt;=&gt;NH2+OH_GasRxn#22_()</t>
  </si>
  <si>
    <t xml:space="preserve"> Flow_rate_Sens_NH3+H&lt;=&gt;NH2+H2_GasRxn#23_()</t>
  </si>
  <si>
    <t xml:space="preserve"> Flow_rate_Sens_NH3+NO&lt;=&gt;NH2+HNO_GasRxn#26_()</t>
  </si>
  <si>
    <t xml:space="preserve"> Flow_rate_Sens_NH2+O&lt;=&gt;NH+OH_GasRxn#28_()</t>
  </si>
  <si>
    <t xml:space="preserve"> Flow_rate_Sens_NH2+O&lt;=&gt;NH+OH_GasRxn#29_()</t>
  </si>
  <si>
    <t xml:space="preserve"> Flow_rate_Sens_HNO+H&lt;=&gt;NH2+O_GasRxn#30_()</t>
  </si>
  <si>
    <t xml:space="preserve"> Flow_rate_Sens_NH2+OH&lt;=&gt;NH+H2O_GasRxn#32_()</t>
  </si>
  <si>
    <t xml:space="preserve"> Flow_rate_Sens_NH2+O2&lt;=&gt;H2NO+O_GasRxn#33_()</t>
  </si>
  <si>
    <t xml:space="preserve"> Flow_rate_Sens_NH2+NO&lt;=&gt;N2+H2O_GasRxn#38_()</t>
  </si>
  <si>
    <t xml:space="preserve"> Flow_rate_Sens_H2NO+H&lt;=&gt;NH2+OH_GasRxn#40_()</t>
  </si>
  <si>
    <t xml:space="preserve"> Flow_rate_Sens_NH2+HO2&lt;=&gt;H2NO+OH_GasRxn#41_()</t>
  </si>
  <si>
    <t xml:space="preserve"> Flow_rate_Sens_NH2+HO2&lt;=&gt;NH3+O2_GasRxn#42_()</t>
  </si>
  <si>
    <t xml:space="preserve"> Flow_rate_Sens_2NH2(+M)&lt;=&gt;N2H4(+M)_GasRxn#47_()</t>
  </si>
  <si>
    <t xml:space="preserve"> Flow_rate_Sens_2NH2&lt;=&gt;N2H3+H_GasRxn#48_()</t>
  </si>
  <si>
    <t xml:space="preserve"> Flow_rate_Sens_2NH2&lt;=&gt;N2H2+H2_GasRxn#49_()</t>
  </si>
  <si>
    <t xml:space="preserve"> Flow_rate_Sens_NH2+N&lt;=&gt;N2+2H_GasRxn#51_()</t>
  </si>
  <si>
    <t xml:space="preserve"> Flow_rate_Sens_NH+H&lt;=&gt;N+H2_GasRxn#52_()</t>
  </si>
  <si>
    <t xml:space="preserve"> Flow_rate_Sens_NH+N&lt;=&gt;N2+H_GasRxn#53_()</t>
  </si>
  <si>
    <t xml:space="preserve"> Flow_rate_Sens_NH+OH&lt;=&gt;N+H2O_GasRxn#54_()</t>
  </si>
  <si>
    <t xml:space="preserve"> Flow_rate_Sens_NH+OH&lt;=&gt;HNO+H_GasRxn#55_()</t>
  </si>
  <si>
    <t xml:space="preserve"> Flow_rate_Sens_NH+O2&lt;=&gt;HNO+O_GasRxn#56_()</t>
  </si>
  <si>
    <t xml:space="preserve"> Flow_rate_Sens_NH+O2&lt;=&gt;NO+OH_GasRxn#57_()</t>
  </si>
  <si>
    <t xml:space="preserve"> Flow_rate_Sens_NH+NO&lt;=&gt;N2O+H_GasRxn#58_()</t>
  </si>
  <si>
    <t xml:space="preserve"> Flow_rate_Sens_2NH&lt;=&gt;N2H2_GasRxn#61_()</t>
  </si>
  <si>
    <t xml:space="preserve"> Flow_rate_Sens_N+NO&lt;=&gt;N2+O_GasRxn#63_()</t>
  </si>
  <si>
    <t xml:space="preserve"> Flow_rate_Sens_N+O2&lt;=&gt;NO+O_GasRxn#64_()</t>
  </si>
  <si>
    <t xml:space="preserve"> Flow_rate_Sens_NNH&lt;=&gt;N2+H_GasRxn#66_()</t>
  </si>
  <si>
    <t xml:space="preserve"> Flow_rate_Sens_NNH+O&lt;=&gt;N2O+H_GasRxn#68_()</t>
  </si>
  <si>
    <t xml:space="preserve"> Flow_rate_Sens_NNH+O&lt;=&gt;NH+NO_GasRxn#69_()</t>
  </si>
  <si>
    <t xml:space="preserve"> Flow_rate_Sens_N2H2+O&lt;=&gt;NNH+OH_GasRxn#75_()</t>
  </si>
  <si>
    <t xml:space="preserve"> Flow_rate_Sens_N2H2+H&lt;=&gt;NNH+H2_GasRxn#76_()</t>
  </si>
  <si>
    <t xml:space="preserve"> Flow_rate_Sens_N2H2+OH&lt;=&gt;NNH+H2O_GasRxn#77_()</t>
  </si>
  <si>
    <t xml:space="preserve"> Flow_rate_Sens_N2H2+NO&lt;=&gt;N2O+NH2_GasRxn#79_()</t>
  </si>
  <si>
    <t xml:space="preserve"> Flow_rate_Sens_N2H3+H&lt;=&gt;N2H2+H2_GasRxn#91_()</t>
  </si>
  <si>
    <t xml:space="preserve"> Flow_rate_Sens_HNO+O&lt;=&gt;NO+OH_GasRxn#96_()</t>
  </si>
  <si>
    <t xml:space="preserve"> Flow_rate_Sens_HNO+H&lt;=&gt;NO+H2_GasRxn#97_()</t>
  </si>
  <si>
    <t xml:space="preserve"> Flow_rate_Sens_NO+O(+M)&lt;=&gt;NO2(+M)_GasRxn#100_()</t>
  </si>
  <si>
    <t xml:space="preserve"> Flow_rate_Sens_NO+H&lt;=&gt;N+OH_GasRxn#101_()</t>
  </si>
  <si>
    <t xml:space="preserve"> Flow_rate_Sens_NO+H&lt;=&gt;NH+O_GasRxn#102_()</t>
  </si>
  <si>
    <t xml:space="preserve"> Flow_rate_Sens_NO+HO2&lt;=&gt;NO2+OH_GasRxn#104_()</t>
  </si>
  <si>
    <t xml:space="preserve"> Flow_rate_Sens_N2O+H&lt;=&gt;N2+OH_GasRxn#105_()</t>
  </si>
  <si>
    <t xml:space="preserve"> Flow_rate_Sens_N2O(+M)&lt;=&gt;N2+O(+M)_GasRxn#106_()</t>
  </si>
  <si>
    <t xml:space="preserve"> Flow_rate_Sens_HNO+O2&lt;=&gt;NO+HO2_GasRxn#109_()</t>
  </si>
  <si>
    <t>Gotama Mech</t>
  </si>
  <si>
    <t xml:space="preserve"> NH2+H(+M)&lt;=&gt;NH3(+M)_GasRxn#110_()</t>
  </si>
  <si>
    <t xml:space="preserve"> NH+H2&lt;=&gt;NH2+H_GasRxn#31_()</t>
  </si>
  <si>
    <t xml:space="preserve"> NH3+OH&lt;=&gt;NH2+H2O_GasRxn#24_()</t>
  </si>
  <si>
    <t xml:space="preserve"> O+H2&lt;=&gt;H+OH_GasRxn#2_()</t>
  </si>
  <si>
    <t xml:space="preserve"> H+OH+M&lt;=&gt;H2O+M_GasRxn#8_()</t>
  </si>
  <si>
    <t xml:space="preserve"> OH+H2&lt;=&gt;H+H2O_GasRxn#3_()</t>
  </si>
  <si>
    <t xml:space="preserve"> NH2+NO&lt;=&gt;NNH+OH_GasRxn#39_()</t>
  </si>
  <si>
    <t xml:space="preserve"> H+O2(+M)&lt;=&gt;HO2(+M)_GasRxn#9_()</t>
  </si>
  <si>
    <t xml:space="preserve"> NH2+NH&lt;=&gt;N2H3_GasRxn#44_()</t>
  </si>
  <si>
    <t xml:space="preserve"> NH2+NH&lt;=&gt;N2H2+H_GasRxn#45_()</t>
  </si>
  <si>
    <t xml:space="preserve"> H+O2&lt;=&gt;O+OH_GasRxn#1_()</t>
  </si>
  <si>
    <t xml:space="preserve"> Flow_rate_Sens_O+H2&lt;=&gt;H+OH_GasRxn#1_()</t>
  </si>
  <si>
    <t xml:space="preserve"> Flow_rate_Sens_H+O2+H2O&lt;=&gt;HO2+H2O_GasRxn#10_()</t>
  </si>
  <si>
    <t xml:space="preserve"> Flow_rate_Sens_H+O2&lt;=&gt;O+OH_GasRxn#13_()</t>
  </si>
  <si>
    <t xml:space="preserve"> Flow_rate_Sens_OH+H2&lt;=&gt;H+H2O_GasRxn#33_()</t>
  </si>
  <si>
    <t xml:space="preserve"> Flow_rate_Sens_NH2+NO&lt;=&gt;NNH+OH_GasRxn#105_()</t>
  </si>
  <si>
    <t xml:space="preserve"> Flow_rate_Sens_NNH+O2&lt;=&gt;N2+HO2_GasRxn#110_()</t>
  </si>
  <si>
    <t xml:space="preserve"> Flow_rate_Sens_HNO+H&lt;=&gt;H2+NO_GasRxn#113_()</t>
  </si>
  <si>
    <t xml:space="preserve"> Flow_rate_Sens_NH3+M&lt;=&gt;NH2+H+M_GasRxn#117_()</t>
  </si>
  <si>
    <t xml:space="preserve"> Flow_rate_Sens_N2H3+H&lt;=&gt;N2H2+H2_GasRxn#122_()</t>
  </si>
  <si>
    <t xml:space="preserve"> Flow_rate_Sens_N2H2+H&lt;=&gt;NNH+H2_GasRxn#124_()</t>
  </si>
  <si>
    <t xml:space="preserve"> H+O2+H2O&lt;=&gt;HO2+H2O_GasRxn#10_()</t>
  </si>
  <si>
    <t xml:space="preserve"> O+H2&lt;=&gt;H+OH_GasRxn#1_()</t>
  </si>
  <si>
    <t xml:space="preserve"> H+O2&lt;=&gt;O+OH_GasRxn#13_()</t>
  </si>
  <si>
    <t xml:space="preserve"> OH+H2&lt;=&gt;H+H2O_GasRxn#33_()</t>
  </si>
  <si>
    <t xml:space="preserve"> NH2+NO&lt;=&gt;NNH+OH_GasRxn#105_()</t>
  </si>
  <si>
    <t xml:space="preserve"> NNH+O2&lt;=&gt;N2+HO2_GasRxn#110_()</t>
  </si>
  <si>
    <t xml:space="preserve"> HNO+H&lt;=&gt;H2+NO_GasRxn#113_()</t>
  </si>
  <si>
    <t xml:space="preserve"> NH3+M&lt;=&gt;NH2+H+M_GasRxn#117_()</t>
  </si>
  <si>
    <t xml:space="preserve"> N2H3+H&lt;=&gt;N2H2+H2_GasRxn#122_()</t>
  </si>
  <si>
    <t xml:space="preserve"> N2H2+H&lt;=&gt;NNH+H2_GasRxn#124_()</t>
  </si>
  <si>
    <t xml:space="preserve"> NH+H2&lt;=&gt;NH2+H#31_()</t>
  </si>
  <si>
    <t xml:space="preserve"> NH3+OH&lt;=&gt;NH2+H2O#24_()</t>
  </si>
  <si>
    <t xml:space="preserve"> O+H2&lt;=&gt;H+OH#2_()</t>
  </si>
  <si>
    <t xml:space="preserve"> H+OH+M&lt;=&gt;H2O+M#8_()</t>
  </si>
  <si>
    <t xml:space="preserve"> OH+H2&lt;=&gt;H+H2O#3_()</t>
  </si>
  <si>
    <t xml:space="preserve"> NH2+NO&lt;=&gt;NNH+OH#39_()</t>
  </si>
  <si>
    <t xml:space="preserve"> H+O2(+M)&lt;=&gt;HO2(+M)#9_()</t>
  </si>
  <si>
    <t xml:space="preserve"> NH2+NH&lt;=&gt;N2H3#44_()</t>
  </si>
  <si>
    <t xml:space="preserve"> NH2+NH&lt;=&gt;N2H2+H#45_()</t>
  </si>
  <si>
    <t xml:space="preserve"> H+O2&lt;=&gt;O+OH#1_()</t>
  </si>
  <si>
    <t xml:space="preserve"> H+O2+H2O&lt;=&gt;HO2+H2O#10_()</t>
  </si>
  <si>
    <t xml:space="preserve"> NH2+NO&lt;=&gt;NNH+OH#105_()</t>
  </si>
  <si>
    <t xml:space="preserve"> NNH+O2&lt;=&gt;N2+HO2#110_()</t>
  </si>
  <si>
    <t xml:space="preserve"> HNO+H&lt;=&gt;H2+NO#113_()</t>
  </si>
  <si>
    <t xml:space="preserve"> NH3+M&lt;=&gt;NH2+H+M#117_()</t>
  </si>
  <si>
    <t xml:space="preserve"> N2H3+H&lt;=&gt;N2H2+H2#122_()</t>
  </si>
  <si>
    <t xml:space="preserve"> N2H2+H&lt;=&gt;NNH+H2#124_()</t>
  </si>
  <si>
    <t>Okafor Reduced 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</si>
</sst>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Gotama Mech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Sheet2!$B$2:$B$18</c:f>
              <c:strCache>
                <c:ptCount val="17"/>
                <c:pt idx="0">
                  <c:v> NH+H2&lt;=&gt;NH2+H</c:v>
                </c:pt>
                <c:pt idx="1">
                  <c:v> NH3+OH&lt;=&gt;NH2+H2O</c:v>
                </c:pt>
                <c:pt idx="2">
                  <c:v> O+H2&lt;=&gt;H+OH</c:v>
                </c:pt>
                <c:pt idx="3">
                  <c:v> H+OH+M&lt;=&gt;H2O+M</c:v>
                </c:pt>
                <c:pt idx="4">
                  <c:v> OH+H2&lt;=&gt;H+H2O</c:v>
                </c:pt>
                <c:pt idx="5">
                  <c:v> NH2+NO&lt;=&gt;NNH+OH</c:v>
                </c:pt>
                <c:pt idx="6">
                  <c:v> H+O2(+M)&lt;=&gt;HO2(+M)</c:v>
                </c:pt>
                <c:pt idx="7">
                  <c:v> NH2+NH&lt;=&gt;N2H3</c:v>
                </c:pt>
                <c:pt idx="8">
                  <c:v> NH2+NH&lt;=&gt;N2H2+H</c:v>
                </c:pt>
                <c:pt idx="9">
                  <c:v> H+O2&lt;=&gt;O+OH</c:v>
                </c:pt>
                <c:pt idx="10">
                  <c:v> H+O2+H2O&lt;=&gt;HO2+H2O</c:v>
                </c:pt>
                <c:pt idx="11">
                  <c:v> NH2+NO&lt;=&gt;NNH+OH</c:v>
                </c:pt>
                <c:pt idx="12">
                  <c:v> NNH+O2&lt;=&gt;N2+HO2</c:v>
                </c:pt>
                <c:pt idx="13">
                  <c:v> HNO+H&lt;=&gt;H2+NO</c:v>
                </c:pt>
                <c:pt idx="14">
                  <c:v> NH3+M&lt;=&gt;NH2+H+M</c:v>
                </c:pt>
                <c:pt idx="15">
                  <c:v> N2H3+H&lt;=&gt;N2H2+H2</c:v>
                </c:pt>
                <c:pt idx="16">
                  <c:v> N2H2+H&lt;=&gt;NNH+H2</c:v>
                </c:pt>
              </c:strCache>
            </c:strRef>
          </c:cat>
          <c:val>
            <c:numRef>
              <c:f>Sheet2!$C$2:$C$18</c:f>
              <c:numCache>
                <c:formatCode>0.00E+00</c:formatCode>
                <c:ptCount val="17"/>
                <c:pt idx="0">
                  <c:v>-5.9738810000000003E-2</c:v>
                </c:pt>
                <c:pt idx="1">
                  <c:v>-6.6510879999999994E-2</c:v>
                </c:pt>
                <c:pt idx="2">
                  <c:v>7.5979610000000003E-2</c:v>
                </c:pt>
                <c:pt idx="3">
                  <c:v>-9.3013079999999998E-2</c:v>
                </c:pt>
                <c:pt idx="4">
                  <c:v>9.6972559999999999E-2</c:v>
                </c:pt>
                <c:pt idx="5">
                  <c:v>0.1136576</c:v>
                </c:pt>
                <c:pt idx="6">
                  <c:v>-0.14236109999999999</c:v>
                </c:pt>
                <c:pt idx="7">
                  <c:v>-0.1838101</c:v>
                </c:pt>
                <c:pt idx="8">
                  <c:v>0.18750130000000001</c:v>
                </c:pt>
                <c:pt idx="9">
                  <c:v>0.64735739999999997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4-4DC4-A077-851FBC63E37C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Okafor Reduced Mech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Sheet2!$B$2:$B$18</c:f>
              <c:strCache>
                <c:ptCount val="17"/>
                <c:pt idx="0">
                  <c:v> NH+H2&lt;=&gt;NH2+H</c:v>
                </c:pt>
                <c:pt idx="1">
                  <c:v> NH3+OH&lt;=&gt;NH2+H2O</c:v>
                </c:pt>
                <c:pt idx="2">
                  <c:v> O+H2&lt;=&gt;H+OH</c:v>
                </c:pt>
                <c:pt idx="3">
                  <c:v> H+OH+M&lt;=&gt;H2O+M</c:v>
                </c:pt>
                <c:pt idx="4">
                  <c:v> OH+H2&lt;=&gt;H+H2O</c:v>
                </c:pt>
                <c:pt idx="5">
                  <c:v> NH2+NO&lt;=&gt;NNH+OH</c:v>
                </c:pt>
                <c:pt idx="6">
                  <c:v> H+O2(+M)&lt;=&gt;HO2(+M)</c:v>
                </c:pt>
                <c:pt idx="7">
                  <c:v> NH2+NH&lt;=&gt;N2H3</c:v>
                </c:pt>
                <c:pt idx="8">
                  <c:v> NH2+NH&lt;=&gt;N2H2+H</c:v>
                </c:pt>
                <c:pt idx="9">
                  <c:v> H+O2&lt;=&gt;O+OH</c:v>
                </c:pt>
                <c:pt idx="10">
                  <c:v> H+O2+H2O&lt;=&gt;HO2+H2O</c:v>
                </c:pt>
                <c:pt idx="11">
                  <c:v> NH2+NO&lt;=&gt;NNH+OH</c:v>
                </c:pt>
                <c:pt idx="12">
                  <c:v> NNH+O2&lt;=&gt;N2+HO2</c:v>
                </c:pt>
                <c:pt idx="13">
                  <c:v> HNO+H&lt;=&gt;H2+NO</c:v>
                </c:pt>
                <c:pt idx="14">
                  <c:v> NH3+M&lt;=&gt;NH2+H+M</c:v>
                </c:pt>
                <c:pt idx="15">
                  <c:v> N2H3+H&lt;=&gt;N2H2+H2</c:v>
                </c:pt>
                <c:pt idx="16">
                  <c:v> N2H2+H&lt;=&gt;NNH+H2</c:v>
                </c:pt>
              </c:strCache>
            </c:strRef>
          </c:cat>
          <c:val>
            <c:numRef>
              <c:f>Sheet2!$D$2:$D$18</c:f>
              <c:numCache>
                <c:formatCode>General</c:formatCode>
                <c:ptCount val="17"/>
                <c:pt idx="2" formatCode="0.00E+00">
                  <c:v>4.0894010000000001E-2</c:v>
                </c:pt>
                <c:pt idx="4" formatCode="0.00E+00">
                  <c:v>6.4593449999999997E-2</c:v>
                </c:pt>
                <c:pt idx="9" formatCode="0.00E+00">
                  <c:v>0.58300890000000005</c:v>
                </c:pt>
                <c:pt idx="10" formatCode="0.00E+00">
                  <c:v>-6.5009339999999999E-2</c:v>
                </c:pt>
                <c:pt idx="11" formatCode="0.00E+00">
                  <c:v>7.2930190000000006E-2</c:v>
                </c:pt>
                <c:pt idx="12" formatCode="0.00E+00">
                  <c:v>-3.5750829999999997E-2</c:v>
                </c:pt>
                <c:pt idx="13" formatCode="0.00E+00">
                  <c:v>-4.9167059999999999E-2</c:v>
                </c:pt>
                <c:pt idx="14" formatCode="0.00E+00">
                  <c:v>-0.1109246</c:v>
                </c:pt>
                <c:pt idx="15" formatCode="0.00E+00">
                  <c:v>-5.9401099999999998E-2</c:v>
                </c:pt>
                <c:pt idx="16" formatCode="0.00E+00">
                  <c:v>3.5393639999999997E-2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4-4DC4-A077-851FBC63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198031"/>
        <c:axId val="1676185071"/>
      </c:barChart>
      <c:catAx>
        <c:axId val="167619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85071"/>
        <c:crosses val="autoZero"/>
        <c:auto val="1"/>
        <c:lblAlgn val="ctr"/>
        <c:lblOffset val="100"/>
        <c:noMultiLvlLbl val="0"/>
      </c:catAx>
      <c:valAx>
        <c:axId val="16761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9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29516</xdr:colOff>
      <xdr:row>3</xdr:row>
      <xdr:rowOff>57150</xdr:rowOff>
    </xdr:from>
    <xdr:to>
      <xdr:col>10</xdr:col>
      <xdr:colOff>285750</xdr:colOff>
      <xdr:row>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D5A74-6250-8FD2-B225-91594B981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B0CD-AEC8-4C98-9514-039E587E0EFA}">
  <dimension ref="A1:F61"/>
  <sheetViews>
    <sheetView topLeftCell="A28" workbookViewId="0">
      <selection activeCell="A52" sqref="A52:F61"/>
    </sheetView>
  </sheetViews>
  <sheetFormatPr defaultRowHeight="15" x14ac:dyDescent="0.25"/>
  <cols>
    <col min="1" max="1" width="51.5703125" bestFit="1" customWidth="1"/>
    <col min="5" max="5" width="50.7109375" bestFit="1" customWidth="1"/>
  </cols>
  <sheetData>
    <row r="1" spans="1:3" x14ac:dyDescent="0.25">
      <c r="B1" s="1" t="s">
        <v>50</v>
      </c>
    </row>
    <row r="2" spans="1:3" x14ac:dyDescent="0.25">
      <c r="A2" t="s">
        <v>6</v>
      </c>
      <c r="B2" s="1">
        <v>-1.031573E-3</v>
      </c>
      <c r="C2">
        <f>ABS(B2)</f>
        <v>1.031573E-3</v>
      </c>
    </row>
    <row r="3" spans="1:3" x14ac:dyDescent="0.25">
      <c r="A3" t="s">
        <v>9</v>
      </c>
      <c r="B3" s="1">
        <v>1.04385E-3</v>
      </c>
      <c r="C3">
        <f>ABS(B3)</f>
        <v>1.04385E-3</v>
      </c>
    </row>
    <row r="4" spans="1:3" x14ac:dyDescent="0.25">
      <c r="A4" t="s">
        <v>16</v>
      </c>
      <c r="B4" s="1">
        <v>1.181362E-3</v>
      </c>
      <c r="C4">
        <f>ABS(B4)</f>
        <v>1.181362E-3</v>
      </c>
    </row>
    <row r="5" spans="1:3" x14ac:dyDescent="0.25">
      <c r="A5" t="s">
        <v>49</v>
      </c>
      <c r="B5" s="1">
        <v>1.237532E-3</v>
      </c>
      <c r="C5">
        <f>ABS(B5)</f>
        <v>1.237532E-3</v>
      </c>
    </row>
    <row r="6" spans="1:3" x14ac:dyDescent="0.25">
      <c r="A6" t="s">
        <v>11</v>
      </c>
      <c r="B6" s="1">
        <v>-1.2377379999999999E-3</v>
      </c>
      <c r="C6">
        <f>ABS(B6)</f>
        <v>1.2377379999999999E-3</v>
      </c>
    </row>
    <row r="7" spans="1:3" x14ac:dyDescent="0.25">
      <c r="A7" t="s">
        <v>14</v>
      </c>
      <c r="B7" s="1">
        <v>-1.245281E-3</v>
      </c>
      <c r="C7">
        <f>ABS(B7)</f>
        <v>1.245281E-3</v>
      </c>
    </row>
    <row r="8" spans="1:3" x14ac:dyDescent="0.25">
      <c r="A8" t="s">
        <v>41</v>
      </c>
      <c r="B8" s="1">
        <v>1.2522449999999999E-3</v>
      </c>
      <c r="C8">
        <f>ABS(B8)</f>
        <v>1.2522449999999999E-3</v>
      </c>
    </row>
    <row r="9" spans="1:3" x14ac:dyDescent="0.25">
      <c r="A9" t="s">
        <v>10</v>
      </c>
      <c r="B9" s="1">
        <v>-1.2542880000000001E-3</v>
      </c>
      <c r="C9">
        <f>ABS(B9)</f>
        <v>1.2542880000000001E-3</v>
      </c>
    </row>
    <row r="10" spans="1:3" x14ac:dyDescent="0.25">
      <c r="A10" t="s">
        <v>24</v>
      </c>
      <c r="B10" s="1">
        <v>-1.33494E-3</v>
      </c>
      <c r="C10">
        <f>ABS(B10)</f>
        <v>1.33494E-3</v>
      </c>
    </row>
    <row r="11" spans="1:3" x14ac:dyDescent="0.25">
      <c r="A11" t="s">
        <v>38</v>
      </c>
      <c r="B11" s="1">
        <v>1.396666E-3</v>
      </c>
      <c r="C11">
        <f>ABS(B11)</f>
        <v>1.396666E-3</v>
      </c>
    </row>
    <row r="12" spans="1:3" x14ac:dyDescent="0.25">
      <c r="A12" t="s">
        <v>47</v>
      </c>
      <c r="B12" s="1">
        <v>-1.532004E-3</v>
      </c>
      <c r="C12">
        <f>ABS(B12)</f>
        <v>1.532004E-3</v>
      </c>
    </row>
    <row r="13" spans="1:3" x14ac:dyDescent="0.25">
      <c r="A13" t="s">
        <v>15</v>
      </c>
      <c r="B13" s="1">
        <v>-1.5716720000000001E-3</v>
      </c>
      <c r="C13">
        <f>ABS(B13)</f>
        <v>1.5716720000000001E-3</v>
      </c>
    </row>
    <row r="14" spans="1:3" x14ac:dyDescent="0.25">
      <c r="A14" t="s">
        <v>33</v>
      </c>
      <c r="B14" s="1">
        <v>1.607009E-3</v>
      </c>
      <c r="C14">
        <f>ABS(B14)</f>
        <v>1.607009E-3</v>
      </c>
    </row>
    <row r="15" spans="1:3" x14ac:dyDescent="0.25">
      <c r="A15" t="s">
        <v>46</v>
      </c>
      <c r="B15" s="1">
        <v>1.834317E-3</v>
      </c>
      <c r="C15">
        <f>ABS(B15)</f>
        <v>1.834317E-3</v>
      </c>
    </row>
    <row r="16" spans="1:3" x14ac:dyDescent="0.25">
      <c r="A16" t="s">
        <v>32</v>
      </c>
      <c r="B16" s="1">
        <v>2.0129530000000001E-3</v>
      </c>
      <c r="C16">
        <f>ABS(B16)</f>
        <v>2.0129530000000001E-3</v>
      </c>
    </row>
    <row r="17" spans="1:3" x14ac:dyDescent="0.25">
      <c r="A17" t="s">
        <v>37</v>
      </c>
      <c r="B17" s="1">
        <v>2.0136749999999999E-3</v>
      </c>
      <c r="C17">
        <f>ABS(B17)</f>
        <v>2.0136749999999999E-3</v>
      </c>
    </row>
    <row r="18" spans="1:3" x14ac:dyDescent="0.25">
      <c r="A18" t="s">
        <v>39</v>
      </c>
      <c r="B18" s="1">
        <v>2.0482730000000002E-3</v>
      </c>
      <c r="C18">
        <f>ABS(B18)</f>
        <v>2.0482730000000002E-3</v>
      </c>
    </row>
    <row r="19" spans="1:3" x14ac:dyDescent="0.25">
      <c r="A19" t="s">
        <v>36</v>
      </c>
      <c r="B19" s="1">
        <v>2.1991960000000001E-3</v>
      </c>
      <c r="C19">
        <f>ABS(B19)</f>
        <v>2.1991960000000001E-3</v>
      </c>
    </row>
    <row r="20" spans="1:3" x14ac:dyDescent="0.25">
      <c r="A20" t="s">
        <v>40</v>
      </c>
      <c r="B20" s="1">
        <v>3.2766959999999999E-3</v>
      </c>
      <c r="C20">
        <f>ABS(B20)</f>
        <v>3.2766959999999999E-3</v>
      </c>
    </row>
    <row r="21" spans="1:3" x14ac:dyDescent="0.25">
      <c r="A21" t="s">
        <v>30</v>
      </c>
      <c r="B21" s="1">
        <v>-3.348714E-3</v>
      </c>
      <c r="C21">
        <f>ABS(B21)</f>
        <v>3.348714E-3</v>
      </c>
    </row>
    <row r="22" spans="1:3" x14ac:dyDescent="0.25">
      <c r="A22" t="s">
        <v>27</v>
      </c>
      <c r="B22" s="1">
        <v>3.6858300000000002E-3</v>
      </c>
      <c r="C22">
        <f>ABS(B22)</f>
        <v>3.6858300000000002E-3</v>
      </c>
    </row>
    <row r="23" spans="1:3" x14ac:dyDescent="0.25">
      <c r="A23" t="s">
        <v>34</v>
      </c>
      <c r="B23" s="1">
        <v>3.9725359999999996E-3</v>
      </c>
      <c r="C23">
        <f>ABS(B23)</f>
        <v>3.9725359999999996E-3</v>
      </c>
    </row>
    <row r="24" spans="1:3" x14ac:dyDescent="0.25">
      <c r="A24" t="s">
        <v>7</v>
      </c>
      <c r="B24" s="1">
        <v>-4.1444619999999998E-3</v>
      </c>
      <c r="C24">
        <f>ABS(B24)</f>
        <v>4.1444619999999998E-3</v>
      </c>
    </row>
    <row r="25" spans="1:3" x14ac:dyDescent="0.25">
      <c r="A25" t="s">
        <v>2</v>
      </c>
      <c r="B25" s="1">
        <v>-5.721299E-3</v>
      </c>
      <c r="C25">
        <f>ABS(B25)</f>
        <v>5.721299E-3</v>
      </c>
    </row>
    <row r="26" spans="1:3" x14ac:dyDescent="0.25">
      <c r="A26" t="s">
        <v>25</v>
      </c>
      <c r="B26" s="1">
        <v>6.0784960000000001E-3</v>
      </c>
      <c r="C26">
        <f>ABS(B26)</f>
        <v>6.0784960000000001E-3</v>
      </c>
    </row>
    <row r="27" spans="1:3" x14ac:dyDescent="0.25">
      <c r="A27" t="s">
        <v>3</v>
      </c>
      <c r="B27" s="1">
        <v>-6.2187559999999998E-3</v>
      </c>
      <c r="C27">
        <f>ABS(B27)</f>
        <v>6.2187559999999998E-3</v>
      </c>
    </row>
    <row r="28" spans="1:3" x14ac:dyDescent="0.25">
      <c r="A28" t="s">
        <v>28</v>
      </c>
      <c r="B28" s="1">
        <v>6.5304569999999999E-3</v>
      </c>
      <c r="C28">
        <f>ABS(B28)</f>
        <v>6.5304569999999999E-3</v>
      </c>
    </row>
    <row r="29" spans="1:3" x14ac:dyDescent="0.25">
      <c r="A29" t="s">
        <v>17</v>
      </c>
      <c r="B29" s="1">
        <v>6.6632519999999997E-3</v>
      </c>
      <c r="C29">
        <f>ABS(B29)</f>
        <v>6.6632519999999997E-3</v>
      </c>
    </row>
    <row r="30" spans="1:3" x14ac:dyDescent="0.25">
      <c r="A30" t="s">
        <v>8</v>
      </c>
      <c r="B30" s="1">
        <v>-7.507901E-3</v>
      </c>
      <c r="C30">
        <f>ABS(B30)</f>
        <v>7.507901E-3</v>
      </c>
    </row>
    <row r="31" spans="1:3" x14ac:dyDescent="0.25">
      <c r="A31" t="s">
        <v>48</v>
      </c>
      <c r="B31" s="1">
        <v>8.2886829999999998E-3</v>
      </c>
      <c r="C31">
        <f>ABS(B31)</f>
        <v>8.2886829999999998E-3</v>
      </c>
    </row>
    <row r="32" spans="1:3" x14ac:dyDescent="0.25">
      <c r="A32" t="s">
        <v>26</v>
      </c>
      <c r="B32" s="1">
        <v>-8.4574160000000006E-3</v>
      </c>
      <c r="C32">
        <f>ABS(B32)</f>
        <v>8.4574160000000006E-3</v>
      </c>
    </row>
    <row r="33" spans="1:3" x14ac:dyDescent="0.25">
      <c r="A33" t="s">
        <v>18</v>
      </c>
      <c r="B33" s="1">
        <v>-1.009882E-2</v>
      </c>
      <c r="C33">
        <f>ABS(B33)</f>
        <v>1.009882E-2</v>
      </c>
    </row>
    <row r="34" spans="1:3" x14ac:dyDescent="0.25">
      <c r="A34" t="s">
        <v>45</v>
      </c>
      <c r="B34" s="1">
        <v>-1.0145700000000001E-2</v>
      </c>
      <c r="C34">
        <f>ABS(B34)</f>
        <v>1.0145700000000001E-2</v>
      </c>
    </row>
    <row r="35" spans="1:3" x14ac:dyDescent="0.25">
      <c r="A35" t="s">
        <v>43</v>
      </c>
      <c r="B35" s="1">
        <v>-1.062888E-2</v>
      </c>
      <c r="C35">
        <f>ABS(B35)</f>
        <v>1.062888E-2</v>
      </c>
    </row>
    <row r="36" spans="1:3" x14ac:dyDescent="0.25">
      <c r="A36" t="s">
        <v>1</v>
      </c>
      <c r="B36" s="1">
        <v>1.075885E-2</v>
      </c>
      <c r="C36">
        <f>ABS(B36)</f>
        <v>1.075885E-2</v>
      </c>
    </row>
    <row r="37" spans="1:3" x14ac:dyDescent="0.25">
      <c r="A37" t="s">
        <v>42</v>
      </c>
      <c r="B37" s="1">
        <v>-1.1954930000000001E-2</v>
      </c>
      <c r="C37">
        <f>ABS(B37)</f>
        <v>1.1954930000000001E-2</v>
      </c>
    </row>
    <row r="38" spans="1:3" x14ac:dyDescent="0.25">
      <c r="A38" t="s">
        <v>4</v>
      </c>
      <c r="B38" s="1">
        <v>-1.2319200000000001E-2</v>
      </c>
      <c r="C38">
        <f>ABS(B38)</f>
        <v>1.2319200000000001E-2</v>
      </c>
    </row>
    <row r="39" spans="1:3" x14ac:dyDescent="0.25">
      <c r="A39" t="s">
        <v>29</v>
      </c>
      <c r="B39" s="1">
        <v>-1.422902E-2</v>
      </c>
      <c r="C39">
        <f>ABS(B39)</f>
        <v>1.422902E-2</v>
      </c>
    </row>
    <row r="40" spans="1:3" x14ac:dyDescent="0.25">
      <c r="A40" t="s">
        <v>44</v>
      </c>
      <c r="B40" s="1">
        <v>-1.438935E-2</v>
      </c>
      <c r="C40">
        <f>ABS(B40)</f>
        <v>1.438935E-2</v>
      </c>
    </row>
    <row r="41" spans="1:3" x14ac:dyDescent="0.25">
      <c r="A41" t="s">
        <v>5</v>
      </c>
      <c r="B41" s="1">
        <v>1.53639E-2</v>
      </c>
      <c r="C41">
        <f>ABS(B41)</f>
        <v>1.53639E-2</v>
      </c>
    </row>
    <row r="42" spans="1:3" x14ac:dyDescent="0.25">
      <c r="A42" t="s">
        <v>19</v>
      </c>
      <c r="B42" s="1">
        <v>-1.852113E-2</v>
      </c>
      <c r="C42">
        <f>ABS(B42)</f>
        <v>1.852113E-2</v>
      </c>
    </row>
    <row r="43" spans="1:3" x14ac:dyDescent="0.25">
      <c r="A43" t="s">
        <v>35</v>
      </c>
      <c r="B43" s="1">
        <v>1.8911049999999999E-2</v>
      </c>
      <c r="C43">
        <f>ABS(B43)</f>
        <v>1.8911049999999999E-2</v>
      </c>
    </row>
    <row r="44" spans="1:3" x14ac:dyDescent="0.25">
      <c r="A44" t="s">
        <v>31</v>
      </c>
      <c r="B44" s="1">
        <v>-2.2097269999999999E-2</v>
      </c>
      <c r="C44">
        <f>ABS(B44)</f>
        <v>2.2097269999999999E-2</v>
      </c>
    </row>
    <row r="45" spans="1:3" x14ac:dyDescent="0.25">
      <c r="A45" t="s">
        <v>12</v>
      </c>
      <c r="B45" s="1">
        <v>-2.57954E-2</v>
      </c>
      <c r="C45">
        <f>ABS(B45)</f>
        <v>2.57954E-2</v>
      </c>
    </row>
    <row r="46" spans="1:3" x14ac:dyDescent="0.25">
      <c r="A46" t="s">
        <v>23</v>
      </c>
      <c r="B46" s="1">
        <v>2.6199699999999999E-2</v>
      </c>
      <c r="C46">
        <f>ABS(B46)</f>
        <v>2.6199699999999999E-2</v>
      </c>
    </row>
    <row r="47" spans="1:3" x14ac:dyDescent="0.25">
      <c r="A47" t="s">
        <v>20</v>
      </c>
      <c r="B47" s="1">
        <v>-2.9584119999999998E-2</v>
      </c>
      <c r="C47">
        <f>ABS(B47)</f>
        <v>2.9584119999999998E-2</v>
      </c>
    </row>
    <row r="48" spans="1:3" x14ac:dyDescent="0.25">
      <c r="A48" t="s">
        <v>13</v>
      </c>
      <c r="B48" s="1">
        <v>-3.3730370000000003E-2</v>
      </c>
      <c r="C48">
        <f>ABS(B48)</f>
        <v>3.3730370000000003E-2</v>
      </c>
    </row>
    <row r="49" spans="1:6" x14ac:dyDescent="0.25">
      <c r="A49" t="s">
        <v>22</v>
      </c>
      <c r="B49" s="1">
        <v>3.7704889999999998E-2</v>
      </c>
      <c r="C49">
        <f>ABS(B49)</f>
        <v>3.7704889999999998E-2</v>
      </c>
    </row>
    <row r="50" spans="1:6" x14ac:dyDescent="0.25">
      <c r="A50" t="s">
        <v>21</v>
      </c>
      <c r="B50" s="1">
        <v>3.9411439999999999E-2</v>
      </c>
      <c r="C50">
        <f>ABS(B50)</f>
        <v>3.9411439999999999E-2</v>
      </c>
    </row>
    <row r="51" spans="1:6" x14ac:dyDescent="0.25">
      <c r="A51" t="s">
        <v>51</v>
      </c>
      <c r="B51" s="1">
        <v>-4.8411799999999998E-2</v>
      </c>
      <c r="C51">
        <f>ABS(B51)</f>
        <v>4.8411799999999998E-2</v>
      </c>
      <c r="E51" t="s">
        <v>0</v>
      </c>
      <c r="F51" s="1">
        <v>0</v>
      </c>
    </row>
    <row r="52" spans="1:6" x14ac:dyDescent="0.25">
      <c r="A52" t="s">
        <v>52</v>
      </c>
      <c r="B52" s="1">
        <v>-5.9738810000000003E-2</v>
      </c>
      <c r="C52">
        <f>ABS(B52)</f>
        <v>5.9738810000000003E-2</v>
      </c>
      <c r="E52" t="s">
        <v>62</v>
      </c>
      <c r="F52" s="1">
        <v>4.0894010000000001E-2</v>
      </c>
    </row>
    <row r="53" spans="1:6" x14ac:dyDescent="0.25">
      <c r="A53" t="s">
        <v>53</v>
      </c>
      <c r="B53" s="1">
        <v>-6.6510879999999994E-2</v>
      </c>
      <c r="C53">
        <f>ABS(B53)</f>
        <v>6.6510879999999994E-2</v>
      </c>
      <c r="E53" t="s">
        <v>63</v>
      </c>
      <c r="F53" s="1">
        <v>-6.5009339999999999E-2</v>
      </c>
    </row>
    <row r="54" spans="1:6" x14ac:dyDescent="0.25">
      <c r="A54" t="s">
        <v>54</v>
      </c>
      <c r="B54" s="1">
        <v>7.5979610000000003E-2</v>
      </c>
      <c r="C54">
        <f>ABS(B54)</f>
        <v>7.5979610000000003E-2</v>
      </c>
      <c r="E54" t="s">
        <v>64</v>
      </c>
      <c r="F54" s="1">
        <v>0.58300890000000005</v>
      </c>
    </row>
    <row r="55" spans="1:6" x14ac:dyDescent="0.25">
      <c r="A55" t="s">
        <v>55</v>
      </c>
      <c r="B55" s="1">
        <v>-9.3013079999999998E-2</v>
      </c>
      <c r="C55">
        <f>ABS(B55)</f>
        <v>9.3013079999999998E-2</v>
      </c>
      <c r="E55" t="s">
        <v>65</v>
      </c>
      <c r="F55" s="1">
        <v>6.4593449999999997E-2</v>
      </c>
    </row>
    <row r="56" spans="1:6" x14ac:dyDescent="0.25">
      <c r="A56" t="s">
        <v>56</v>
      </c>
      <c r="B56" s="1">
        <v>9.6972559999999999E-2</v>
      </c>
      <c r="C56">
        <f>ABS(B56)</f>
        <v>9.6972559999999999E-2</v>
      </c>
      <c r="E56" t="s">
        <v>66</v>
      </c>
      <c r="F56" s="1">
        <v>7.2930190000000006E-2</v>
      </c>
    </row>
    <row r="57" spans="1:6" x14ac:dyDescent="0.25">
      <c r="A57" t="s">
        <v>57</v>
      </c>
      <c r="B57" s="1">
        <v>0.1136576</v>
      </c>
      <c r="C57">
        <f>ABS(B57)</f>
        <v>0.1136576</v>
      </c>
      <c r="E57" t="s">
        <v>67</v>
      </c>
      <c r="F57" s="1">
        <v>-3.5750829999999997E-2</v>
      </c>
    </row>
    <row r="58" spans="1:6" x14ac:dyDescent="0.25">
      <c r="A58" t="s">
        <v>58</v>
      </c>
      <c r="B58" s="1">
        <v>-0.14236109999999999</v>
      </c>
      <c r="C58">
        <f>ABS(B58)</f>
        <v>0.14236109999999999</v>
      </c>
      <c r="E58" t="s">
        <v>68</v>
      </c>
      <c r="F58" s="1">
        <v>-4.9167059999999999E-2</v>
      </c>
    </row>
    <row r="59" spans="1:6" x14ac:dyDescent="0.25">
      <c r="A59" t="s">
        <v>59</v>
      </c>
      <c r="B59" s="1">
        <v>-0.1838101</v>
      </c>
      <c r="C59">
        <f>ABS(B59)</f>
        <v>0.1838101</v>
      </c>
      <c r="E59" t="s">
        <v>69</v>
      </c>
      <c r="F59" s="1">
        <v>-0.1109246</v>
      </c>
    </row>
    <row r="60" spans="1:6" x14ac:dyDescent="0.25">
      <c r="A60" t="s">
        <v>60</v>
      </c>
      <c r="B60" s="1">
        <v>0.18750130000000001</v>
      </c>
      <c r="C60">
        <f>ABS(B60)</f>
        <v>0.18750130000000001</v>
      </c>
      <c r="E60" t="s">
        <v>70</v>
      </c>
      <c r="F60" s="1">
        <v>-5.9401099999999998E-2</v>
      </c>
    </row>
    <row r="61" spans="1:6" x14ac:dyDescent="0.25">
      <c r="A61" t="s">
        <v>61</v>
      </c>
      <c r="B61" s="1">
        <v>0.64735739999999997</v>
      </c>
      <c r="C61">
        <f>ABS(B61)</f>
        <v>0.64735739999999997</v>
      </c>
      <c r="E61" t="s">
        <v>71</v>
      </c>
      <c r="F61" s="1">
        <v>3.5393639999999997E-2</v>
      </c>
    </row>
  </sheetData>
  <autoFilter ref="A1:C61" xr:uid="{1344B0CD-AEC8-4C98-9514-039E587E0EFA}">
    <sortState xmlns:xlrd2="http://schemas.microsoft.com/office/spreadsheetml/2017/richdata2" ref="A2:C61">
      <sortCondition ref="C1:C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5ACF-ED15-4170-8B10-B452C2BE0B8A}">
  <dimension ref="A1:H18"/>
  <sheetViews>
    <sheetView tabSelected="1" workbookViewId="0">
      <selection activeCell="B1" sqref="B1:D18"/>
    </sheetView>
  </sheetViews>
  <sheetFormatPr defaultRowHeight="15" x14ac:dyDescent="0.25"/>
  <cols>
    <col min="1" max="1" width="33.85546875" bestFit="1" customWidth="1"/>
    <col min="2" max="2" width="33.85546875" customWidth="1"/>
    <col min="3" max="3" width="13.28515625" bestFit="1" customWidth="1"/>
    <col min="4" max="4" width="20.42578125" bestFit="1" customWidth="1"/>
    <col min="6" max="6" width="50.7109375" customWidth="1"/>
    <col min="7" max="7" width="6" customWidth="1"/>
  </cols>
  <sheetData>
    <row r="1" spans="1:8" x14ac:dyDescent="0.25">
      <c r="C1" t="s">
        <v>50</v>
      </c>
      <c r="D1" t="s">
        <v>99</v>
      </c>
    </row>
    <row r="2" spans="1:8" x14ac:dyDescent="0.25">
      <c r="A2" t="s">
        <v>82</v>
      </c>
      <c r="B2" t="str">
        <f>LEFT(A2,LEN(A2)-6)</f>
        <v xml:space="preserve"> NH+H2&lt;=&gt;NH2+H</v>
      </c>
      <c r="C2" s="1">
        <v>-5.9738810000000003E-2</v>
      </c>
      <c r="F2" t="s">
        <v>73</v>
      </c>
    </row>
    <row r="3" spans="1:8" x14ac:dyDescent="0.25">
      <c r="A3" t="s">
        <v>83</v>
      </c>
      <c r="B3" t="str">
        <f>LEFT(A3,LEN(A3)-6)</f>
        <v xml:space="preserve"> NH3+OH&lt;=&gt;NH2+H2O</v>
      </c>
      <c r="C3" s="1">
        <v>-6.6510879999999994E-2</v>
      </c>
      <c r="F3" t="s">
        <v>72</v>
      </c>
      <c r="H3" s="1">
        <v>-6.5009339999999999E-2</v>
      </c>
    </row>
    <row r="4" spans="1:8" x14ac:dyDescent="0.25">
      <c r="A4" t="s">
        <v>84</v>
      </c>
      <c r="B4" t="str">
        <f t="shared" ref="B3:B18" si="0">LEFT(A4,LEN(A4)-5)</f>
        <v xml:space="preserve"> O+H2&lt;=&gt;H+OH</v>
      </c>
      <c r="C4" s="1">
        <v>7.5979610000000003E-2</v>
      </c>
      <c r="D4" s="1">
        <v>4.0894010000000001E-2</v>
      </c>
      <c r="F4" t="s">
        <v>74</v>
      </c>
    </row>
    <row r="5" spans="1:8" x14ac:dyDescent="0.25">
      <c r="A5" t="s">
        <v>85</v>
      </c>
      <c r="B5" t="str">
        <f t="shared" si="0"/>
        <v xml:space="preserve"> H+OH+M&lt;=&gt;H2O+M</v>
      </c>
      <c r="C5" s="1">
        <v>-9.3013079999999998E-2</v>
      </c>
      <c r="F5" t="s">
        <v>75</v>
      </c>
    </row>
    <row r="6" spans="1:8" x14ac:dyDescent="0.25">
      <c r="A6" t="s">
        <v>86</v>
      </c>
      <c r="B6" t="str">
        <f t="shared" si="0"/>
        <v xml:space="preserve"> OH+H2&lt;=&gt;H+H2O</v>
      </c>
      <c r="C6" s="1">
        <v>9.6972559999999999E-2</v>
      </c>
      <c r="D6" s="1">
        <v>6.4593449999999997E-2</v>
      </c>
      <c r="F6" t="s">
        <v>76</v>
      </c>
      <c r="H6" s="1">
        <v>7.2930190000000006E-2</v>
      </c>
    </row>
    <row r="7" spans="1:8" x14ac:dyDescent="0.25">
      <c r="A7" t="s">
        <v>87</v>
      </c>
      <c r="B7" t="str">
        <f>LEFT(A7,LEN(A7)-6)</f>
        <v xml:space="preserve"> NH2+NO&lt;=&gt;NNH+OH</v>
      </c>
      <c r="C7" s="1">
        <v>0.1136576</v>
      </c>
      <c r="F7" t="s">
        <v>77</v>
      </c>
      <c r="H7" s="1">
        <v>-3.5750829999999997E-2</v>
      </c>
    </row>
    <row r="8" spans="1:8" x14ac:dyDescent="0.25">
      <c r="A8" t="s">
        <v>88</v>
      </c>
      <c r="B8" t="str">
        <f t="shared" si="0"/>
        <v xml:space="preserve"> H+O2(+M)&lt;=&gt;HO2(+M)</v>
      </c>
      <c r="C8" s="1">
        <v>-0.14236109999999999</v>
      </c>
      <c r="F8" t="s">
        <v>78</v>
      </c>
      <c r="H8" s="1">
        <v>-4.9167059999999999E-2</v>
      </c>
    </row>
    <row r="9" spans="1:8" x14ac:dyDescent="0.25">
      <c r="A9" t="s">
        <v>89</v>
      </c>
      <c r="B9" t="str">
        <f>LEFT(A9,LEN(A9)-6)</f>
        <v xml:space="preserve"> NH2+NH&lt;=&gt;N2H3</v>
      </c>
      <c r="C9" s="1">
        <v>-0.1838101</v>
      </c>
      <c r="F9" t="s">
        <v>79</v>
      </c>
      <c r="H9" s="1">
        <v>-0.1109246</v>
      </c>
    </row>
    <row r="10" spans="1:8" x14ac:dyDescent="0.25">
      <c r="A10" t="s">
        <v>90</v>
      </c>
      <c r="B10" t="str">
        <f>LEFT(A10,LEN(A10)-6)</f>
        <v xml:space="preserve"> NH2+NH&lt;=&gt;N2H2+H</v>
      </c>
      <c r="C10" s="1">
        <v>0.18750130000000001</v>
      </c>
      <c r="F10" t="s">
        <v>80</v>
      </c>
      <c r="H10" s="1">
        <v>-5.9401099999999998E-2</v>
      </c>
    </row>
    <row r="11" spans="1:8" x14ac:dyDescent="0.25">
      <c r="A11" t="s">
        <v>91</v>
      </c>
      <c r="B11" t="str">
        <f t="shared" si="0"/>
        <v xml:space="preserve"> H+O2&lt;=&gt;O+OH</v>
      </c>
      <c r="C11" s="1">
        <v>0.64735739999999997</v>
      </c>
      <c r="D11" s="1">
        <v>0.58300890000000005</v>
      </c>
      <c r="F11" t="s">
        <v>81</v>
      </c>
      <c r="H11" s="1">
        <v>3.5393639999999997E-2</v>
      </c>
    </row>
    <row r="12" spans="1:8" x14ac:dyDescent="0.25">
      <c r="A12" t="s">
        <v>92</v>
      </c>
      <c r="B12" t="str">
        <f>LEFT(A12,LEN(A12)-6)</f>
        <v xml:space="preserve"> H+O2+H2O&lt;=&gt;HO2+H2O</v>
      </c>
      <c r="D12" s="1">
        <v>-6.5009339999999999E-2</v>
      </c>
    </row>
    <row r="13" spans="1:8" x14ac:dyDescent="0.25">
      <c r="A13" t="s">
        <v>93</v>
      </c>
      <c r="B13" t="str">
        <f>LEFT(A13,LEN(A13)-7)</f>
        <v xml:space="preserve"> NH2+NO&lt;=&gt;NNH+OH</v>
      </c>
      <c r="D13" s="1">
        <v>7.2930190000000006E-2</v>
      </c>
    </row>
    <row r="14" spans="1:8" x14ac:dyDescent="0.25">
      <c r="A14" t="s">
        <v>94</v>
      </c>
      <c r="B14" t="str">
        <f>LEFT(A14,LEN(A14)-7)</f>
        <v xml:space="preserve"> NNH+O2&lt;=&gt;N2+HO2</v>
      </c>
      <c r="D14" s="1">
        <v>-3.5750829999999997E-2</v>
      </c>
    </row>
    <row r="15" spans="1:8" x14ac:dyDescent="0.25">
      <c r="A15" t="s">
        <v>95</v>
      </c>
      <c r="B15" t="str">
        <f t="shared" ref="B15:B18" si="1">LEFT(A15,LEN(A15)-7)</f>
        <v xml:space="preserve"> HNO+H&lt;=&gt;H2+NO</v>
      </c>
      <c r="D15" s="1">
        <v>-4.9167059999999999E-2</v>
      </c>
    </row>
    <row r="16" spans="1:8" x14ac:dyDescent="0.25">
      <c r="A16" t="s">
        <v>96</v>
      </c>
      <c r="B16" t="str">
        <f t="shared" si="1"/>
        <v xml:space="preserve"> NH3+M&lt;=&gt;NH2+H+M</v>
      </c>
      <c r="D16" s="1">
        <v>-0.1109246</v>
      </c>
    </row>
    <row r="17" spans="1:4" x14ac:dyDescent="0.25">
      <c r="A17" t="s">
        <v>97</v>
      </c>
      <c r="B17" t="str">
        <f t="shared" si="1"/>
        <v xml:space="preserve"> N2H3+H&lt;=&gt;N2H2+H2</v>
      </c>
      <c r="D17" s="1">
        <v>-5.9401099999999998E-2</v>
      </c>
    </row>
    <row r="18" spans="1:4" x14ac:dyDescent="0.25">
      <c r="A18" t="s">
        <v>98</v>
      </c>
      <c r="B18" t="str">
        <f t="shared" si="1"/>
        <v xml:space="preserve"> N2H2+H&lt;=&gt;NNH+H2</v>
      </c>
      <c r="D18" s="1">
        <v>3.5393639999999997E-2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Urothiyil Aahil Ashraf</dc:creator>
  <cp:lastModifiedBy>Urothiyil Aahil Ashraf</cp:lastModifiedBy>
  <dcterms:created xsi:type="dcterms:W3CDTF">2026-10-23T00:20:36Z</dcterms:created>
  <dcterms:modified xsi:type="dcterms:W3CDTF">2026-10-23T00:41:28Z</dcterms:modified>
</cp:coreProperties>
</file>