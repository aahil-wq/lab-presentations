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rr\lab\presentations\icfd2026\paper\figures\"/>
    </mc:Choice>
  </mc:AlternateContent>
  <xr:revisionPtr revIDLastSave="0" documentId="13_ncr:1_{0C2F1B83-69D6-4A4C-988E-7F45CC4152AD}" xr6:coauthVersionLast="47" xr6:coauthVersionMax="47" xr10:uidLastSave="{00000000-0000-0000-0000-000000000000}"/>
  <bookViews>
    <workbookView xWindow="28680" yWindow="-120" windowWidth="29040" windowHeight="16440" xr2:uid="{13970726-6CA0-4D06-A476-A656A11058C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77" i="1" l="1"/>
  <c r="D76" i="1"/>
  <c r="D75" i="1"/>
  <c r="D74" i="1"/>
  <c r="D73" i="1"/>
  <c r="D66" i="1"/>
  <c r="D67" i="1"/>
  <c r="D68" i="1"/>
  <c r="D69" i="1"/>
  <c r="D70" i="1"/>
  <c r="D71" i="1"/>
  <c r="D72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46" i="1"/>
  <c r="D47" i="1"/>
  <c r="D48" i="1"/>
  <c r="D49" i="1"/>
  <c r="D50" i="1"/>
  <c r="D51" i="1"/>
  <c r="D45" i="1"/>
  <c r="D44" i="1"/>
  <c r="D43" i="1"/>
  <c r="D42" i="1"/>
  <c r="D29" i="1"/>
  <c r="D39" i="1"/>
  <c r="D41" i="1" s="1"/>
  <c r="D37" i="1"/>
  <c r="D38" i="1" s="1"/>
  <c r="D35" i="1"/>
  <c r="D36" i="1" s="1"/>
  <c r="D31" i="1"/>
  <c r="D33" i="1" s="1"/>
  <c r="D27" i="1"/>
  <c r="D28" i="1" s="1"/>
  <c r="D23" i="1"/>
  <c r="D25" i="1" s="1"/>
  <c r="D20" i="1"/>
  <c r="D22" i="1" s="1"/>
  <c r="D17" i="1"/>
  <c r="D18" i="1" s="1"/>
  <c r="D14" i="1"/>
  <c r="D16" i="1" s="1"/>
  <c r="D10" i="1"/>
  <c r="D12" i="1" s="1"/>
  <c r="D6" i="1"/>
  <c r="D2" i="1"/>
  <c r="D8" i="1"/>
  <c r="D9" i="1"/>
  <c r="D7" i="1"/>
  <c r="D4" i="1"/>
  <c r="D5" i="1"/>
  <c r="D3" i="1"/>
  <c r="D32" i="1" l="1"/>
  <c r="D40" i="1"/>
  <c r="D19" i="1"/>
  <c r="D15" i="1"/>
  <c r="D11" i="1"/>
  <c r="D24" i="1"/>
  <c r="D26" i="1"/>
  <c r="D13" i="1"/>
  <c r="D21" i="1"/>
</calcChain>
</file>

<file path=xl/sharedStrings.xml><?xml version="1.0" encoding="utf-8"?>
<sst xmlns="http://schemas.openxmlformats.org/spreadsheetml/2006/main" count="77" uniqueCount="44">
  <si>
    <t>nh3-&gt;nh2</t>
  </si>
  <si>
    <t>oh</t>
  </si>
  <si>
    <t>h</t>
  </si>
  <si>
    <t>o</t>
  </si>
  <si>
    <t>Okafor reduced</t>
  </si>
  <si>
    <t>nh2-&gt;nh3</t>
  </si>
  <si>
    <t>unimol</t>
  </si>
  <si>
    <t>ho2</t>
  </si>
  <si>
    <t>nh2-&gt;nh</t>
  </si>
  <si>
    <t>nh-&gt;n</t>
  </si>
  <si>
    <t>n-&gt;n2</t>
  </si>
  <si>
    <t>no</t>
  </si>
  <si>
    <t>h+m</t>
  </si>
  <si>
    <t>nh2</t>
  </si>
  <si>
    <t>nnh-&gt;n2</t>
  </si>
  <si>
    <t>o2</t>
  </si>
  <si>
    <t>n2h2-&gt;nnh</t>
  </si>
  <si>
    <t>n2h3-&gt;nh2h2</t>
  </si>
  <si>
    <t>n2h2-&gt;n2h3</t>
  </si>
  <si>
    <t>n2h3-&gt;h2</t>
  </si>
  <si>
    <t>n2h2-&gt;h2</t>
  </si>
  <si>
    <t>h2-&gt;h</t>
  </si>
  <si>
    <t>nh2-&gt;n2h3</t>
  </si>
  <si>
    <t>nh</t>
  </si>
  <si>
    <t>gotama</t>
  </si>
  <si>
    <t>h2-&gt;oh</t>
  </si>
  <si>
    <t>h-&gt;h2</t>
  </si>
  <si>
    <t>hno</t>
  </si>
  <si>
    <t>nh3</t>
  </si>
  <si>
    <t>n2h3</t>
  </si>
  <si>
    <t>n2h2</t>
  </si>
  <si>
    <t>h-&gt;oh</t>
  </si>
  <si>
    <t>n2o</t>
  </si>
  <si>
    <t>no2</t>
  </si>
  <si>
    <t>h-&gt;ho2</t>
  </si>
  <si>
    <t>o2+h2o</t>
  </si>
  <si>
    <t>o2+n2</t>
  </si>
  <si>
    <t>oh-&gt;h</t>
  </si>
  <si>
    <t>h2</t>
  </si>
  <si>
    <t>n</t>
  </si>
  <si>
    <t>oh-&gt;h2o</t>
  </si>
  <si>
    <t>h2o2</t>
  </si>
  <si>
    <t>h2o-&gt;oh</t>
  </si>
  <si>
    <t>ho2-&gt;oh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</si>
</sst>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3EA79-3C91-424F-96E1-9983A360E255}">
  <dimension ref="A1:H77"/>
  <sheetViews>
    <sheetView tabSelected="1" topLeftCell="A51" workbookViewId="0">
      <selection activeCell="D77" sqref="D77"/>
    </sheetView>
  </sheetViews>
  <sheetFormatPr defaultRowHeight="15" x14ac:dyDescent="0.25"/>
  <sheetData>
    <row r="1" spans="1:8" x14ac:dyDescent="0.25">
      <c r="A1" t="s">
        <v>4</v>
      </c>
      <c r="D1" s="1">
        <v>3.6599000000000001E-4</v>
      </c>
      <c r="E1" t="s">
        <v>24</v>
      </c>
      <c r="H1" s="1">
        <v>5.4003999999999999E-4</v>
      </c>
    </row>
    <row r="2" spans="1:8" x14ac:dyDescent="0.25">
      <c r="A2" t="s">
        <v>0</v>
      </c>
      <c r="B2">
        <v>4</v>
      </c>
      <c r="D2" s="1">
        <f>(B2/10)*$D$1</f>
        <v>1.4639600000000003E-4</v>
      </c>
    </row>
    <row r="3" spans="1:8" x14ac:dyDescent="0.25">
      <c r="B3" t="s">
        <v>1</v>
      </c>
      <c r="C3">
        <v>0.77300000000000002</v>
      </c>
      <c r="D3" s="1">
        <f>($B$2/10)*$D$1*C3</f>
        <v>1.1316410800000002E-4</v>
      </c>
    </row>
    <row r="4" spans="1:8" x14ac:dyDescent="0.25">
      <c r="B4" t="s">
        <v>2</v>
      </c>
      <c r="C4">
        <v>0.124</v>
      </c>
      <c r="D4" s="1">
        <f t="shared" ref="D4:D5" si="0">($B$2/10)*$D$1*C4</f>
        <v>1.8153104000000002E-5</v>
      </c>
    </row>
    <row r="5" spans="1:8" x14ac:dyDescent="0.25">
      <c r="B5" t="s">
        <v>3</v>
      </c>
      <c r="C5">
        <v>0.10299999999999999</v>
      </c>
      <c r="D5" s="1">
        <f t="shared" si="0"/>
        <v>1.5078788000000003E-5</v>
      </c>
    </row>
    <row r="6" spans="1:8" x14ac:dyDescent="0.25">
      <c r="A6" t="s">
        <v>5</v>
      </c>
      <c r="B6">
        <v>0.5</v>
      </c>
      <c r="D6" s="1">
        <f>(B6/10)*$D$1</f>
        <v>1.8299500000000003E-5</v>
      </c>
    </row>
    <row r="7" spans="1:8" x14ac:dyDescent="0.25">
      <c r="B7" t="s">
        <v>12</v>
      </c>
      <c r="C7">
        <v>0.53800000000000003</v>
      </c>
      <c r="D7" s="1">
        <f>($B$6/10)*$D$1*C7</f>
        <v>9.8451310000000032E-6</v>
      </c>
    </row>
    <row r="8" spans="1:8" x14ac:dyDescent="0.25">
      <c r="B8" t="s">
        <v>6</v>
      </c>
      <c r="C8">
        <v>0.44400000000000001</v>
      </c>
      <c r="D8" s="1">
        <f t="shared" ref="D8:D9" si="1">($B$6/10)*$D$1*C8</f>
        <v>8.1249780000000008E-6</v>
      </c>
    </row>
    <row r="9" spans="1:8" x14ac:dyDescent="0.25">
      <c r="B9" t="s">
        <v>7</v>
      </c>
      <c r="C9">
        <v>1.7000000000000001E-2</v>
      </c>
      <c r="D9" s="1">
        <f t="shared" si="1"/>
        <v>3.1109150000000006E-7</v>
      </c>
    </row>
    <row r="10" spans="1:8" x14ac:dyDescent="0.25">
      <c r="A10" t="s">
        <v>8</v>
      </c>
      <c r="B10">
        <v>2.1</v>
      </c>
      <c r="D10" s="1">
        <f>(B10/10)*$D$1</f>
        <v>7.6857900000000008E-5</v>
      </c>
    </row>
    <row r="11" spans="1:8" x14ac:dyDescent="0.25">
      <c r="B11" t="s">
        <v>2</v>
      </c>
      <c r="C11">
        <v>0.60099999999999998</v>
      </c>
      <c r="D11" s="1">
        <f>C11*$D$10</f>
        <v>4.6191597900000003E-5</v>
      </c>
    </row>
    <row r="12" spans="1:8" x14ac:dyDescent="0.25">
      <c r="B12" t="s">
        <v>1</v>
      </c>
      <c r="C12">
        <v>0.28799999999999998</v>
      </c>
      <c r="D12" s="1">
        <f t="shared" ref="D12:D13" si="2">C12*$D$10</f>
        <v>2.2135075199999999E-5</v>
      </c>
    </row>
    <row r="13" spans="1:8" x14ac:dyDescent="0.25">
      <c r="B13" t="s">
        <v>6</v>
      </c>
      <c r="C13">
        <v>0.112</v>
      </c>
      <c r="D13" s="1">
        <f t="shared" si="2"/>
        <v>8.6080848000000006E-6</v>
      </c>
    </row>
    <row r="14" spans="1:8" x14ac:dyDescent="0.25">
      <c r="A14" t="s">
        <v>9</v>
      </c>
      <c r="B14">
        <v>0.5</v>
      </c>
      <c r="D14" s="1">
        <f>(B14/10)*$D$1</f>
        <v>1.8299500000000003E-5</v>
      </c>
    </row>
    <row r="15" spans="1:8" x14ac:dyDescent="0.25">
      <c r="B15" t="s">
        <v>2</v>
      </c>
      <c r="C15">
        <v>0.68400000000000005</v>
      </c>
      <c r="D15" s="1">
        <f>C15*$D$14</f>
        <v>1.2516858000000004E-5</v>
      </c>
    </row>
    <row r="16" spans="1:8" x14ac:dyDescent="0.25">
      <c r="B16" t="s">
        <v>1</v>
      </c>
      <c r="C16">
        <v>0.316</v>
      </c>
      <c r="D16" s="1">
        <f>C16*$D$14</f>
        <v>5.7826420000000011E-6</v>
      </c>
    </row>
    <row r="17" spans="1:4" x14ac:dyDescent="0.25">
      <c r="A17" t="s">
        <v>10</v>
      </c>
      <c r="B17">
        <v>0.6</v>
      </c>
      <c r="D17" s="1">
        <f>(B17/10)*$D$1</f>
        <v>2.1959399999999998E-5</v>
      </c>
    </row>
    <row r="18" spans="1:4" x14ac:dyDescent="0.25">
      <c r="B18" t="s">
        <v>11</v>
      </c>
      <c r="C18">
        <v>0.78500000000000003</v>
      </c>
      <c r="D18" s="1">
        <f>C18*$D$17</f>
        <v>1.7238128999999999E-5</v>
      </c>
    </row>
    <row r="19" spans="1:4" x14ac:dyDescent="0.25">
      <c r="B19" t="s">
        <v>13</v>
      </c>
      <c r="C19">
        <v>0.215</v>
      </c>
      <c r="D19" s="1">
        <f>C19*$D$17</f>
        <v>4.7212709999999998E-6</v>
      </c>
    </row>
    <row r="20" spans="1:4" x14ac:dyDescent="0.25">
      <c r="A20" t="s">
        <v>14</v>
      </c>
      <c r="B20">
        <v>0.6</v>
      </c>
      <c r="D20" s="1">
        <f>(B20/10)*$D$1</f>
        <v>2.1959399999999998E-5</v>
      </c>
    </row>
    <row r="21" spans="1:4" x14ac:dyDescent="0.25">
      <c r="B21" t="s">
        <v>6</v>
      </c>
      <c r="C21">
        <v>0.498</v>
      </c>
      <c r="D21" s="1">
        <f>C21*$D$20</f>
        <v>1.0935781199999999E-5</v>
      </c>
    </row>
    <row r="22" spans="1:4" x14ac:dyDescent="0.25">
      <c r="B22" t="s">
        <v>15</v>
      </c>
      <c r="C22">
        <v>0.502</v>
      </c>
      <c r="D22" s="1">
        <f>C22*$D$20</f>
        <v>1.1023618799999999E-5</v>
      </c>
    </row>
    <row r="23" spans="1:4" x14ac:dyDescent="0.25">
      <c r="A23" t="s">
        <v>16</v>
      </c>
      <c r="B23">
        <v>0.3</v>
      </c>
      <c r="D23" s="1">
        <f>(B23/10)*$D$1</f>
        <v>1.0979699999999999E-5</v>
      </c>
    </row>
    <row r="24" spans="1:4" x14ac:dyDescent="0.25">
      <c r="B24" t="s">
        <v>2</v>
      </c>
      <c r="C24">
        <v>0.78</v>
      </c>
      <c r="D24" s="1">
        <f>C24*$D$23</f>
        <v>8.5641660000000004E-6</v>
      </c>
    </row>
    <row r="25" spans="1:4" x14ac:dyDescent="0.25">
      <c r="B25" t="s">
        <v>3</v>
      </c>
      <c r="C25">
        <v>0.112</v>
      </c>
      <c r="D25" s="1">
        <f>C25*$D$23</f>
        <v>1.2297263999999999E-6</v>
      </c>
    </row>
    <row r="26" spans="1:4" x14ac:dyDescent="0.25">
      <c r="B26" t="s">
        <v>1</v>
      </c>
      <c r="C26">
        <v>0.108</v>
      </c>
      <c r="D26" s="1">
        <f>C26*$D$23</f>
        <v>1.1858076E-6</v>
      </c>
    </row>
    <row r="27" spans="1:4" x14ac:dyDescent="0.25">
      <c r="A27" t="s">
        <v>18</v>
      </c>
      <c r="B27">
        <v>0.2</v>
      </c>
      <c r="D27" s="1">
        <f>(B27/10)*$D$1</f>
        <v>7.3198000000000006E-6</v>
      </c>
    </row>
    <row r="28" spans="1:4" x14ac:dyDescent="0.25">
      <c r="B28" t="s">
        <v>12</v>
      </c>
      <c r="C28">
        <v>1</v>
      </c>
      <c r="D28" s="1">
        <f>C28*$D$27</f>
        <v>7.3198000000000006E-6</v>
      </c>
    </row>
    <row r="29" spans="1:4" x14ac:dyDescent="0.25">
      <c r="A29" t="s">
        <v>22</v>
      </c>
      <c r="B29">
        <v>0.3</v>
      </c>
      <c r="D29" s="1">
        <f>(B29/10)*$D$1</f>
        <v>1.0979699999999999E-5</v>
      </c>
    </row>
    <row r="30" spans="1:4" x14ac:dyDescent="0.25">
      <c r="B30" t="s">
        <v>23</v>
      </c>
      <c r="C30">
        <v>1</v>
      </c>
      <c r="D30" s="1"/>
    </row>
    <row r="31" spans="1:4" x14ac:dyDescent="0.25">
      <c r="A31" t="s">
        <v>17</v>
      </c>
      <c r="B31">
        <v>0.2</v>
      </c>
      <c r="D31" s="1">
        <f>(B31/10)*$D$1</f>
        <v>7.3198000000000006E-6</v>
      </c>
    </row>
    <row r="32" spans="1:4" x14ac:dyDescent="0.25">
      <c r="B32" t="s">
        <v>2</v>
      </c>
      <c r="C32">
        <v>0.87</v>
      </c>
      <c r="D32" s="1">
        <f>C32*$D$31</f>
        <v>6.3682260000000006E-6</v>
      </c>
    </row>
    <row r="33" spans="1:4" x14ac:dyDescent="0.25">
      <c r="B33" t="s">
        <v>7</v>
      </c>
      <c r="C33">
        <v>0.13</v>
      </c>
      <c r="D33" s="1">
        <f>C33*$D$31</f>
        <v>9.5157400000000015E-7</v>
      </c>
    </row>
    <row r="35" spans="1:4" x14ac:dyDescent="0.25">
      <c r="A35" t="s">
        <v>19</v>
      </c>
      <c r="B35">
        <v>0.1</v>
      </c>
      <c r="D35" s="1">
        <f>(B35/10)*$D$1</f>
        <v>3.6599000000000003E-6</v>
      </c>
    </row>
    <row r="36" spans="1:4" x14ac:dyDescent="0.25">
      <c r="B36" t="s">
        <v>2</v>
      </c>
      <c r="C36">
        <v>1</v>
      </c>
      <c r="D36" s="1">
        <f>C36*$D$35</f>
        <v>3.6599000000000003E-6</v>
      </c>
    </row>
    <row r="37" spans="1:4" x14ac:dyDescent="0.25">
      <c r="A37" t="s">
        <v>20</v>
      </c>
      <c r="B37">
        <v>0.2</v>
      </c>
      <c r="D37" s="1">
        <f>(B37/10)*$D$1</f>
        <v>7.3198000000000006E-6</v>
      </c>
    </row>
    <row r="38" spans="1:4" x14ac:dyDescent="0.25">
      <c r="B38" t="s">
        <v>2</v>
      </c>
      <c r="C38">
        <v>1</v>
      </c>
      <c r="D38" s="1">
        <f>C38*$D$37</f>
        <v>7.3198000000000006E-6</v>
      </c>
    </row>
    <row r="39" spans="1:4" x14ac:dyDescent="0.25">
      <c r="A39" t="s">
        <v>21</v>
      </c>
      <c r="B39">
        <v>6.9</v>
      </c>
      <c r="D39" s="1">
        <f>(B39/10)*$D$1</f>
        <v>2.5253310000000002E-4</v>
      </c>
    </row>
    <row r="40" spans="1:4" x14ac:dyDescent="0.25">
      <c r="B40" t="s">
        <v>1</v>
      </c>
      <c r="C40">
        <v>0.78400000000000003</v>
      </c>
      <c r="D40" s="1">
        <f>C40*$D$39</f>
        <v>1.9798595040000001E-4</v>
      </c>
    </row>
    <row r="41" spans="1:4" x14ac:dyDescent="0.25">
      <c r="B41" t="s">
        <v>2</v>
      </c>
      <c r="C41">
        <v>0.216</v>
      </c>
      <c r="D41" s="1">
        <f>C41*$D$39</f>
        <v>5.4547149600000002E-5</v>
      </c>
    </row>
    <row r="42" spans="1:4" x14ac:dyDescent="0.25">
      <c r="A42" t="s">
        <v>25</v>
      </c>
      <c r="B42">
        <v>1.5</v>
      </c>
      <c r="D42" s="1">
        <f>(B42/10)*$D$1</f>
        <v>5.4898499999999996E-5</v>
      </c>
    </row>
    <row r="43" spans="1:4" x14ac:dyDescent="0.25">
      <c r="B43" t="s">
        <v>2</v>
      </c>
      <c r="C43">
        <v>1</v>
      </c>
      <c r="D43" s="1">
        <f>C43*$D$42</f>
        <v>5.4898499999999996E-5</v>
      </c>
    </row>
    <row r="44" spans="1:4" x14ac:dyDescent="0.25">
      <c r="A44" t="s">
        <v>26</v>
      </c>
      <c r="B44">
        <v>3.6</v>
      </c>
      <c r="D44" s="1">
        <f>(B44/10)*$D$1</f>
        <v>1.3175639999999999E-4</v>
      </c>
    </row>
    <row r="45" spans="1:4" x14ac:dyDescent="0.25">
      <c r="B45" t="s">
        <v>13</v>
      </c>
      <c r="C45">
        <v>0.35899999999999999</v>
      </c>
      <c r="D45" s="1">
        <f>C45*$D$44</f>
        <v>4.7300547599999997E-5</v>
      </c>
    </row>
    <row r="46" spans="1:4" x14ac:dyDescent="0.25">
      <c r="B46" t="s">
        <v>27</v>
      </c>
      <c r="C46">
        <v>0.25800000000000001</v>
      </c>
      <c r="D46" s="1">
        <f t="shared" ref="D46:D51" si="3">C46*$D$44</f>
        <v>3.3993151200000001E-5</v>
      </c>
    </row>
    <row r="47" spans="1:4" x14ac:dyDescent="0.25">
      <c r="B47" t="s">
        <v>28</v>
      </c>
      <c r="C47">
        <v>0.13900000000000001</v>
      </c>
      <c r="D47" s="1">
        <f t="shared" si="3"/>
        <v>1.8314139600000001E-5</v>
      </c>
    </row>
    <row r="48" spans="1:4" x14ac:dyDescent="0.25">
      <c r="B48" t="s">
        <v>23</v>
      </c>
      <c r="C48">
        <v>9.9000000000000005E-2</v>
      </c>
      <c r="D48" s="1">
        <f t="shared" si="3"/>
        <v>1.30438836E-5</v>
      </c>
    </row>
    <row r="49" spans="1:4" x14ac:dyDescent="0.25">
      <c r="B49" t="s">
        <v>30</v>
      </c>
      <c r="C49">
        <v>6.3E-2</v>
      </c>
      <c r="D49" s="1">
        <f t="shared" si="3"/>
        <v>8.3006531999999996E-6</v>
      </c>
    </row>
    <row r="50" spans="1:4" x14ac:dyDescent="0.25">
      <c r="B50" t="s">
        <v>29</v>
      </c>
      <c r="C50">
        <v>4.2000000000000003E-2</v>
      </c>
      <c r="D50" s="1">
        <f t="shared" si="3"/>
        <v>5.5337687999999998E-6</v>
      </c>
    </row>
    <row r="51" spans="1:4" x14ac:dyDescent="0.25">
      <c r="B51" t="s">
        <v>7</v>
      </c>
      <c r="C51">
        <v>4.1000000000000002E-2</v>
      </c>
      <c r="D51" s="1">
        <f t="shared" si="3"/>
        <v>5.4020124000000002E-6</v>
      </c>
    </row>
    <row r="52" spans="1:4" x14ac:dyDescent="0.25">
      <c r="A52" t="s">
        <v>31</v>
      </c>
      <c r="B52">
        <v>5.8</v>
      </c>
      <c r="D52" s="1">
        <f>(B52/10)*$D$1</f>
        <v>2.1227419999999999E-4</v>
      </c>
    </row>
    <row r="53" spans="1:4" x14ac:dyDescent="0.25">
      <c r="B53" t="s">
        <v>15</v>
      </c>
      <c r="C53">
        <v>0.69099999999999995</v>
      </c>
      <c r="D53" s="1">
        <f>C53*$D$52</f>
        <v>1.4668147219999998E-4</v>
      </c>
    </row>
    <row r="54" spans="1:4" x14ac:dyDescent="0.25">
      <c r="B54" t="s">
        <v>7</v>
      </c>
      <c r="C54">
        <v>0.214</v>
      </c>
      <c r="D54" s="1">
        <f>C54*$D$52</f>
        <v>4.5426678799999996E-5</v>
      </c>
    </row>
    <row r="55" spans="1:4" x14ac:dyDescent="0.25">
      <c r="B55" t="s">
        <v>32</v>
      </c>
      <c r="C55">
        <v>7.5999999999999998E-2</v>
      </c>
      <c r="D55" s="1">
        <f>C55*$D$52</f>
        <v>1.6132839199999999E-5</v>
      </c>
    </row>
    <row r="56" spans="1:4" x14ac:dyDescent="0.25">
      <c r="B56" t="s">
        <v>33</v>
      </c>
      <c r="C56">
        <v>1.7999999999999999E-2</v>
      </c>
      <c r="D56" s="1">
        <f>C56*$D$52</f>
        <v>3.8209355999999997E-6</v>
      </c>
    </row>
    <row r="57" spans="1:4" x14ac:dyDescent="0.25">
      <c r="A57" t="s">
        <v>34</v>
      </c>
      <c r="B57">
        <v>0.4</v>
      </c>
      <c r="D57" s="1">
        <f>(B57/10)*$D$1</f>
        <v>1.4639600000000001E-5</v>
      </c>
    </row>
    <row r="58" spans="1:4" x14ac:dyDescent="0.25">
      <c r="B58" t="s">
        <v>35</v>
      </c>
      <c r="C58">
        <v>0.84199999999999997</v>
      </c>
      <c r="D58" s="1">
        <f>C58*$D$57</f>
        <v>1.23265432E-5</v>
      </c>
    </row>
    <row r="59" spans="1:4" x14ac:dyDescent="0.25">
      <c r="B59" t="s">
        <v>36</v>
      </c>
      <c r="C59">
        <v>0.158</v>
      </c>
      <c r="D59" s="1">
        <f>C59*$D$57</f>
        <v>2.3130568000000003E-6</v>
      </c>
    </row>
    <row r="60" spans="1:4" x14ac:dyDescent="0.25">
      <c r="A60" t="s">
        <v>37</v>
      </c>
      <c r="B60">
        <v>5.8</v>
      </c>
      <c r="D60" s="1">
        <f>(B60/10)*$D$1</f>
        <v>2.1227419999999999E-4</v>
      </c>
    </row>
    <row r="61" spans="1:4" x14ac:dyDescent="0.25">
      <c r="B61" t="s">
        <v>38</v>
      </c>
      <c r="C61">
        <v>0.94299999999999995</v>
      </c>
      <c r="D61" s="1">
        <f>C61*$D$60</f>
        <v>2.0017457059999999E-4</v>
      </c>
    </row>
    <row r="62" spans="1:4" x14ac:dyDescent="0.25">
      <c r="B62" t="s">
        <v>23</v>
      </c>
      <c r="C62">
        <v>0.04</v>
      </c>
      <c r="D62" s="1">
        <f>C62*$D$60</f>
        <v>8.4909679999999996E-6</v>
      </c>
    </row>
    <row r="63" spans="1:4" x14ac:dyDescent="0.25">
      <c r="B63" t="s">
        <v>39</v>
      </c>
      <c r="C63">
        <v>1.7000000000000001E-2</v>
      </c>
      <c r="D63" s="1">
        <f>C63*$D$60</f>
        <v>3.6086614E-6</v>
      </c>
    </row>
    <row r="64" spans="1:4" x14ac:dyDescent="0.25">
      <c r="A64" t="s">
        <v>40</v>
      </c>
      <c r="B64">
        <v>10</v>
      </c>
      <c r="D64" s="1">
        <f>(B64/10)*$D$1</f>
        <v>3.6599000000000001E-4</v>
      </c>
    </row>
    <row r="65" spans="1:4" x14ac:dyDescent="0.25">
      <c r="B65" t="s">
        <v>38</v>
      </c>
      <c r="C65">
        <v>0.54300000000000004</v>
      </c>
      <c r="D65" s="1">
        <f>C65*$D$64</f>
        <v>1.9873257000000002E-4</v>
      </c>
    </row>
    <row r="66" spans="1:4" x14ac:dyDescent="0.25">
      <c r="B66" t="s">
        <v>28</v>
      </c>
      <c r="C66">
        <v>3.1099999999999999E-2</v>
      </c>
      <c r="D66" s="1">
        <f t="shared" ref="D66:D72" si="4">C66*$D$64</f>
        <v>1.1382288999999999E-5</v>
      </c>
    </row>
    <row r="67" spans="1:4" x14ac:dyDescent="0.25">
      <c r="B67" t="s">
        <v>13</v>
      </c>
      <c r="C67">
        <v>6.2E-2</v>
      </c>
      <c r="D67" s="1">
        <f t="shared" si="4"/>
        <v>2.269138E-5</v>
      </c>
    </row>
    <row r="68" spans="1:4" x14ac:dyDescent="0.25">
      <c r="B68" t="s">
        <v>2</v>
      </c>
      <c r="C68">
        <v>0.02</v>
      </c>
      <c r="D68" s="1">
        <f t="shared" si="4"/>
        <v>7.3198000000000006E-6</v>
      </c>
    </row>
    <row r="69" spans="1:4" x14ac:dyDescent="0.25">
      <c r="B69" t="s">
        <v>23</v>
      </c>
      <c r="C69">
        <v>1.6E-2</v>
      </c>
      <c r="D69" s="1">
        <f t="shared" si="4"/>
        <v>5.8558400000000002E-6</v>
      </c>
    </row>
    <row r="70" spans="1:4" x14ac:dyDescent="0.25">
      <c r="B70" t="s">
        <v>27</v>
      </c>
      <c r="C70">
        <v>1.6E-2</v>
      </c>
      <c r="D70" s="1">
        <f t="shared" si="4"/>
        <v>5.8558400000000002E-6</v>
      </c>
    </row>
    <row r="71" spans="1:4" x14ac:dyDescent="0.25">
      <c r="B71" t="s">
        <v>7</v>
      </c>
      <c r="C71">
        <v>1.2999999999999999E-2</v>
      </c>
      <c r="D71" s="1">
        <f t="shared" si="4"/>
        <v>4.7578700000000002E-6</v>
      </c>
    </row>
    <row r="72" spans="1:4" x14ac:dyDescent="0.25">
      <c r="B72" t="s">
        <v>41</v>
      </c>
      <c r="C72">
        <v>1.0999999999999999E-2</v>
      </c>
      <c r="D72" s="1">
        <f t="shared" si="4"/>
        <v>4.02589E-6</v>
      </c>
    </row>
    <row r="73" spans="1:4" x14ac:dyDescent="0.25">
      <c r="A73" t="s">
        <v>42</v>
      </c>
      <c r="B73">
        <v>2.9</v>
      </c>
      <c r="D73" s="1">
        <f>(B73/10)*$D$1</f>
        <v>1.061371E-4</v>
      </c>
    </row>
    <row r="74" spans="1:4" x14ac:dyDescent="0.25">
      <c r="B74" t="s">
        <v>3</v>
      </c>
      <c r="C74">
        <v>1</v>
      </c>
      <c r="D74" s="1">
        <f>C74*$D$73</f>
        <v>1.061371E-4</v>
      </c>
    </row>
    <row r="75" spans="1:4" x14ac:dyDescent="0.25">
      <c r="A75" t="s">
        <v>43</v>
      </c>
      <c r="B75">
        <v>1.3</v>
      </c>
      <c r="D75" s="1">
        <f>(B75/10)*$D$1</f>
        <v>4.7578700000000006E-5</v>
      </c>
    </row>
    <row r="76" spans="1:4" x14ac:dyDescent="0.25">
      <c r="B76" t="s">
        <v>2</v>
      </c>
      <c r="C76">
        <v>0.95199999999999996</v>
      </c>
      <c r="D76" s="1">
        <f>C76*$D$75</f>
        <v>4.5294922400000006E-5</v>
      </c>
    </row>
    <row r="77" spans="1:4" x14ac:dyDescent="0.25">
      <c r="B77" t="s">
        <v>11</v>
      </c>
      <c r="C77">
        <v>4.8000000000000001E-2</v>
      </c>
      <c r="D77" s="1">
        <f>C77*$D$75</f>
        <v>2.2837776000000001E-6</v>
      </c>
    </row>
  </sheetData>
  <pageMargins left="0.7" right="0.7" top="0.75" bottom="0.75" header="0.3" footer="0.3"/>
  <ignoredErrors>
    <ignoredError sqref="D28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Urothiyil Aahil Ashraf</dc:creator>
  <cp:lastModifiedBy>Urothiyil Aahil Ashraf</cp:lastModifiedBy>
  <dcterms:created xsi:type="dcterms:W3CDTF">2026-07-22T08:43:40Z</dcterms:created>
  <dcterms:modified xsi:type="dcterms:W3CDTF">2026-07-22T10:25:24Z</dcterms:modified>
</cp:coreProperties>
</file>