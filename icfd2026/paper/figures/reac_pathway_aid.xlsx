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r\lab\presentations\icfd2026\paper\figures\"/>
    </mc:Choice>
  </mc:AlternateContent>
  <xr:revisionPtr revIDLastSave="0" documentId="13_ncr:1_{625B6463-AEE7-4411-9A4C-45816820657C}" xr6:coauthVersionLast="47" xr6:coauthVersionMax="47" xr10:uidLastSave="{00000000-0000-0000-0000-000000000000}"/>
  <bookViews>
    <workbookView xWindow="-120" yWindow="-120" windowWidth="29040" windowHeight="16440" xr2:uid="{13970726-6CA0-4D06-A476-A656A11058CA}"/>
  </bookViews>
  <sheets>
    <sheet name="Sheet1" sheetId="1" r:id="rId1"/>
  </sheets>
  <definedNames>
    <definedName name="_xlnm._FilterDatabase" localSheetId="0" hidden="1">Sheet1!$A$1:$H$76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80" i="1" l="1"/>
  <c r="F82" i="1"/>
  <c r="F81" i="1"/>
  <c r="D36" i="1"/>
  <c r="D37" i="1" s="1"/>
  <c r="H36" i="1"/>
  <c r="H37" i="1" s="1"/>
  <c r="H34" i="1"/>
  <c r="H35" i="1" s="1"/>
  <c r="H75" i="1"/>
  <c r="H76" i="1" s="1"/>
  <c r="H66" i="1"/>
  <c r="H68" i="1" s="1"/>
  <c r="H62" i="1"/>
  <c r="H65" i="1" s="1"/>
  <c r="H57" i="1"/>
  <c r="H60" i="1" s="1"/>
  <c r="H49" i="1"/>
  <c r="H50" i="1" s="1"/>
  <c r="H47" i="1"/>
  <c r="H48" i="1" s="1"/>
  <c r="H44" i="1"/>
  <c r="H46" i="1" s="1"/>
  <c r="H42" i="1"/>
  <c r="H43" i="1" s="1"/>
  <c r="H33" i="1"/>
  <c r="H29" i="1"/>
  <c r="H30" i="1" s="1"/>
  <c r="H28" i="1"/>
  <c r="H23" i="1"/>
  <c r="H26" i="1" s="1"/>
  <c r="H20" i="1"/>
  <c r="H22" i="1" s="1"/>
  <c r="H17" i="1"/>
  <c r="H19" i="1" s="1"/>
  <c r="H14" i="1"/>
  <c r="H16" i="1" s="1"/>
  <c r="H10" i="1"/>
  <c r="H13" i="1" s="1"/>
  <c r="H9" i="1"/>
  <c r="H8" i="1"/>
  <c r="H6" i="1"/>
  <c r="H7" i="1" s="1"/>
  <c r="H2" i="1"/>
  <c r="H5" i="1" s="1"/>
  <c r="D75" i="1"/>
  <c r="D76" i="1" s="1"/>
  <c r="D66" i="1"/>
  <c r="D68" i="1" s="1"/>
  <c r="D62" i="1"/>
  <c r="D63" i="1" s="1"/>
  <c r="D57" i="1"/>
  <c r="D60" i="1" s="1"/>
  <c r="D49" i="1"/>
  <c r="D52" i="1" s="1"/>
  <c r="D47" i="1"/>
  <c r="D48" i="1" s="1"/>
  <c r="D44" i="1"/>
  <c r="D45" i="1" s="1"/>
  <c r="D42" i="1"/>
  <c r="D43" i="1" s="1"/>
  <c r="D40" i="1"/>
  <c r="D41" i="1" s="1"/>
  <c r="D14" i="1"/>
  <c r="D15" i="1" s="1"/>
  <c r="D17" i="1"/>
  <c r="D19" i="1" s="1"/>
  <c r="D20" i="1"/>
  <c r="D22" i="1" s="1"/>
  <c r="D23" i="1"/>
  <c r="D24" i="1" s="1"/>
  <c r="D27" i="1"/>
  <c r="D28" i="1" s="1"/>
  <c r="D29" i="1"/>
  <c r="D30" i="1" s="1"/>
  <c r="D31" i="1"/>
  <c r="D32" i="1" s="1"/>
  <c r="D10" i="1"/>
  <c r="D11" i="1" s="1"/>
  <c r="D6" i="1"/>
  <c r="D7" i="1" s="1"/>
  <c r="D2" i="1"/>
  <c r="D4" i="1" s="1"/>
  <c r="D8" i="1"/>
  <c r="D9" i="1"/>
  <c r="H38" i="1" l="1"/>
  <c r="H55" i="1"/>
  <c r="H56" i="1"/>
  <c r="H70" i="1"/>
  <c r="H63" i="1"/>
  <c r="H61" i="1"/>
  <c r="H64" i="1"/>
  <c r="H51" i="1"/>
  <c r="H52" i="1"/>
  <c r="H59" i="1"/>
  <c r="H45" i="1"/>
  <c r="H53" i="1"/>
  <c r="H54" i="1"/>
  <c r="H67" i="1"/>
  <c r="H69" i="1"/>
  <c r="H71" i="1"/>
  <c r="H24" i="1"/>
  <c r="H25" i="1"/>
  <c r="H11" i="1"/>
  <c r="H12" i="1"/>
  <c r="H15" i="1"/>
  <c r="H32" i="1"/>
  <c r="H18" i="1"/>
  <c r="H3" i="1"/>
  <c r="H4" i="1"/>
  <c r="H58" i="1"/>
  <c r="H21" i="1"/>
  <c r="D51" i="1"/>
  <c r="D50" i="1"/>
  <c r="D56" i="1"/>
  <c r="D55" i="1"/>
  <c r="D54" i="1"/>
  <c r="D53" i="1"/>
  <c r="D13" i="1"/>
  <c r="D65" i="1"/>
  <c r="D12" i="1"/>
  <c r="D64" i="1"/>
  <c r="D16" i="1"/>
  <c r="D74" i="1"/>
  <c r="D25" i="1"/>
  <c r="D71" i="1"/>
  <c r="D18" i="1"/>
  <c r="D5" i="1"/>
  <c r="D21" i="1"/>
  <c r="D26" i="1"/>
  <c r="D33" i="1"/>
  <c r="D73" i="1"/>
  <c r="D72" i="1"/>
  <c r="D70" i="1"/>
  <c r="D69" i="1"/>
  <c r="D59" i="1"/>
  <c r="D3" i="1"/>
  <c r="D46" i="1"/>
  <c r="D67" i="1"/>
  <c r="D58" i="1"/>
  <c r="D61" i="1"/>
  <c r="H79" i="1" l="1"/>
</calcChain>
</file>

<file path=xl/sharedStrings.xml><?xml version="1.0" encoding="utf-8"?>
<sst xmlns="http://schemas.openxmlformats.org/spreadsheetml/2006/main" count="123" uniqueCount="41">
  <si>
    <t>nh3-&gt;nh2</t>
  </si>
  <si>
    <t>oh</t>
  </si>
  <si>
    <t>h</t>
  </si>
  <si>
    <t>o</t>
  </si>
  <si>
    <t>Okafor reduced</t>
  </si>
  <si>
    <t>nh2-&gt;nh3</t>
  </si>
  <si>
    <t>unimol</t>
  </si>
  <si>
    <t>ho2</t>
  </si>
  <si>
    <t>nh2-&gt;nh</t>
  </si>
  <si>
    <t>nh-&gt;n</t>
  </si>
  <si>
    <t>n-&gt;n2</t>
  </si>
  <si>
    <t>no</t>
  </si>
  <si>
    <t>h+m</t>
  </si>
  <si>
    <t>nh2</t>
  </si>
  <si>
    <t>nnh-&gt;n2</t>
  </si>
  <si>
    <t>o2</t>
  </si>
  <si>
    <t>n2h2-&gt;nnh</t>
  </si>
  <si>
    <t>n2h2-&gt;n2h3</t>
  </si>
  <si>
    <t>n2h3-&gt;h2</t>
  </si>
  <si>
    <t>n2h2-&gt;h2</t>
  </si>
  <si>
    <t>h2-&gt;h</t>
  </si>
  <si>
    <t>nh</t>
  </si>
  <si>
    <t>gotama</t>
  </si>
  <si>
    <t>h2-&gt;oh</t>
  </si>
  <si>
    <t>h-&gt;h2</t>
  </si>
  <si>
    <t>hno</t>
  </si>
  <si>
    <t>nh3</t>
  </si>
  <si>
    <t>n2h3</t>
  </si>
  <si>
    <t>n2h2</t>
  </si>
  <si>
    <t>h-&gt;oh</t>
  </si>
  <si>
    <t>n2o</t>
  </si>
  <si>
    <t>no2</t>
  </si>
  <si>
    <t>oh-&gt;h</t>
  </si>
  <si>
    <t>h2</t>
  </si>
  <si>
    <t>n</t>
  </si>
  <si>
    <t>oh-&gt;h2o</t>
  </si>
  <si>
    <t>h2o2</t>
  </si>
  <si>
    <t>h2o-&gt;oh</t>
  </si>
  <si>
    <t>n2h3-&gt;n2h2</t>
  </si>
  <si>
    <t>n2h3-&gt;nh2</t>
  </si>
  <si>
    <t>nh2-&gt;n2h2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</si>
</sst>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1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0" fontId="0" fillId="2" borderId="0" xfId="0" applyFill="1"/>
  </cellXfs>
  <cellStyles count="2">
    <cellStyle name="Normal" xfId="0" builtinId="0"/>
    <cellStyle name="Percent" xfId="1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3EA79-3C91-424F-96E1-9983A360E255}">
  <dimension ref="A1:K118"/>
  <sheetViews>
    <sheetView tabSelected="1" topLeftCell="A52" workbookViewId="0">
      <selection activeCell="C67" sqref="C67"/>
    </sheetView>
  </sheetViews>
  <sheetFormatPr defaultRowHeight="15" x14ac:dyDescent="0.25"/>
  <cols>
    <col min="1" max="1" width="11.42578125" customWidth="1"/>
    <col min="3" max="3" width="9.140625" style="2"/>
    <col min="6" max="6" width="12" bestFit="1" customWidth="1"/>
    <col min="7" max="7" width="9.140625" style="3"/>
    <col min="8" max="8" width="12.7109375" customWidth="1"/>
  </cols>
  <sheetData>
    <row r="1" spans="1:10" x14ac:dyDescent="0.25">
      <c r="A1" t="s">
        <v>4</v>
      </c>
      <c r="D1" s="1">
        <v>3.6599000000000001E-4</v>
      </c>
      <c r="E1" t="s">
        <v>22</v>
      </c>
      <c r="H1" s="1">
        <v>5.4003999999999999E-4</v>
      </c>
    </row>
    <row r="2" spans="1:10" x14ac:dyDescent="0.25">
      <c r="A2" t="s">
        <v>0</v>
      </c>
      <c r="B2">
        <v>4</v>
      </c>
      <c r="D2" s="1">
        <f>(B2/10)*D$1</f>
        <v>1.4639600000000003E-4</v>
      </c>
      <c r="F2">
        <v>4.0999999999999996</v>
      </c>
      <c r="H2" s="1">
        <f>(F2/10)*H$1</f>
        <v>2.2141639999999997E-4</v>
      </c>
    </row>
    <row r="3" spans="1:10" x14ac:dyDescent="0.25">
      <c r="B3" t="s">
        <v>1</v>
      </c>
      <c r="C3" s="2">
        <v>0.77300000000000002</v>
      </c>
      <c r="D3" s="1">
        <f>D$2*C3</f>
        <v>1.1316410800000002E-4</v>
      </c>
      <c r="F3" t="s">
        <v>1</v>
      </c>
      <c r="G3" s="3">
        <v>0.84299999999999997</v>
      </c>
      <c r="H3" s="1">
        <f>H$2*G3</f>
        <v>1.8665402519999996E-4</v>
      </c>
    </row>
    <row r="4" spans="1:10" x14ac:dyDescent="0.25">
      <c r="B4" t="s">
        <v>2</v>
      </c>
      <c r="C4" s="2">
        <v>0.124</v>
      </c>
      <c r="D4" s="1">
        <f t="shared" ref="D4:D5" si="0">D$2*C4</f>
        <v>1.8153104000000002E-5</v>
      </c>
      <c r="F4" t="s">
        <v>2</v>
      </c>
      <c r="G4" s="3">
        <v>3.4000000000000002E-2</v>
      </c>
      <c r="H4" s="1">
        <f t="shared" ref="H4:H5" si="1">H$2*G4</f>
        <v>7.5281575999999997E-6</v>
      </c>
    </row>
    <row r="5" spans="1:10" x14ac:dyDescent="0.25">
      <c r="B5" t="s">
        <v>3</v>
      </c>
      <c r="C5" s="2">
        <v>0.10299999999999999</v>
      </c>
      <c r="D5" s="1">
        <f t="shared" si="0"/>
        <v>1.5078788000000003E-5</v>
      </c>
      <c r="F5" t="s">
        <v>3</v>
      </c>
      <c r="G5" s="3">
        <v>0.124</v>
      </c>
      <c r="H5" s="1">
        <f t="shared" si="1"/>
        <v>2.7455633599999995E-5</v>
      </c>
    </row>
    <row r="6" spans="1:10" x14ac:dyDescent="0.25">
      <c r="A6" t="s">
        <v>5</v>
      </c>
      <c r="B6">
        <v>0.5</v>
      </c>
      <c r="D6" s="1">
        <f>(B6/10)*D$1</f>
        <v>1.8299500000000003E-5</v>
      </c>
      <c r="F6">
        <v>0.4</v>
      </c>
      <c r="H6" s="1">
        <f>(F6/10)*H$1</f>
        <v>2.16016E-5</v>
      </c>
    </row>
    <row r="7" spans="1:10" x14ac:dyDescent="0.25">
      <c r="B7" t="s">
        <v>12</v>
      </c>
      <c r="C7" s="2">
        <v>0.53800000000000003</v>
      </c>
      <c r="D7" s="1">
        <f>D$6*C7</f>
        <v>9.8451310000000032E-6</v>
      </c>
      <c r="F7" t="s">
        <v>12</v>
      </c>
      <c r="G7" s="3">
        <v>0.24199999999999999</v>
      </c>
      <c r="H7" s="1">
        <f>H$6*G7</f>
        <v>5.2275871999999999E-6</v>
      </c>
    </row>
    <row r="8" spans="1:10" x14ac:dyDescent="0.25">
      <c r="B8" t="s">
        <v>6</v>
      </c>
      <c r="C8" s="2">
        <v>0.44400000000000001</v>
      </c>
      <c r="D8" s="1">
        <f t="shared" ref="D8:D9" si="2">($B$6/10)*$D$1*C8</f>
        <v>8.1249780000000008E-6</v>
      </c>
      <c r="F8" t="s">
        <v>6</v>
      </c>
      <c r="G8" s="3">
        <v>0.374</v>
      </c>
      <c r="H8" s="1">
        <f t="shared" ref="H8:H9" si="3">($B$6/10)*$D$1*G8</f>
        <v>6.8440130000000015E-6</v>
      </c>
    </row>
    <row r="9" spans="1:10" x14ac:dyDescent="0.25">
      <c r="B9" t="s">
        <v>7</v>
      </c>
      <c r="C9" s="2">
        <v>1.7000000000000001E-2</v>
      </c>
      <c r="D9" s="1">
        <f t="shared" si="2"/>
        <v>3.1109150000000006E-7</v>
      </c>
      <c r="F9" t="s">
        <v>7</v>
      </c>
      <c r="G9" s="3">
        <v>0.26800000000000002</v>
      </c>
      <c r="H9" s="1">
        <f t="shared" si="3"/>
        <v>4.904266000000001E-6</v>
      </c>
    </row>
    <row r="10" spans="1:10" x14ac:dyDescent="0.25">
      <c r="A10" t="s">
        <v>8</v>
      </c>
      <c r="B10">
        <v>2.1</v>
      </c>
      <c r="D10" s="1">
        <f>(B10/10)*D$1</f>
        <v>7.6857900000000008E-5</v>
      </c>
      <c r="F10">
        <v>2.7</v>
      </c>
      <c r="H10" s="1">
        <f>(F10/10)*H$1</f>
        <v>1.4581080000000002E-4</v>
      </c>
    </row>
    <row r="11" spans="1:10" x14ac:dyDescent="0.25">
      <c r="B11" t="s">
        <v>2</v>
      </c>
      <c r="C11" s="2">
        <v>0.60099999999999998</v>
      </c>
      <c r="D11" s="1">
        <f>C11*D$10</f>
        <v>4.6191597900000003E-5</v>
      </c>
      <c r="F11" t="s">
        <v>2</v>
      </c>
      <c r="G11" s="3">
        <v>0.36399999999999999</v>
      </c>
      <c r="H11" s="1">
        <f>G11*H$10</f>
        <v>5.3075131200000004E-5</v>
      </c>
    </row>
    <row r="12" spans="1:10" x14ac:dyDescent="0.25">
      <c r="B12" t="s">
        <v>1</v>
      </c>
      <c r="C12" s="2">
        <v>0.28799999999999998</v>
      </c>
      <c r="D12" s="1">
        <f t="shared" ref="D12:D13" si="4">C12*D$10</f>
        <v>2.2135075199999999E-5</v>
      </c>
      <c r="F12" t="s">
        <v>1</v>
      </c>
      <c r="G12" s="3">
        <v>0.47399999999999998</v>
      </c>
      <c r="H12" s="1">
        <f t="shared" ref="H12:H13" si="5">G12*H$10</f>
        <v>6.9114319199999998E-5</v>
      </c>
    </row>
    <row r="13" spans="1:10" x14ac:dyDescent="0.25">
      <c r="B13" t="s">
        <v>6</v>
      </c>
      <c r="C13" s="2">
        <v>0.112</v>
      </c>
      <c r="D13" s="1">
        <f t="shared" si="4"/>
        <v>8.6080848000000006E-6</v>
      </c>
      <c r="F13" t="s">
        <v>6</v>
      </c>
      <c r="H13" s="1">
        <f t="shared" si="5"/>
        <v>0</v>
      </c>
    </row>
    <row r="14" spans="1:10" x14ac:dyDescent="0.25">
      <c r="A14" t="s">
        <v>9</v>
      </c>
      <c r="B14">
        <v>0.5</v>
      </c>
      <c r="D14" s="1">
        <f>(B14/10)*D$1</f>
        <v>1.8299500000000003E-5</v>
      </c>
      <c r="F14">
        <v>0.7</v>
      </c>
      <c r="H14" s="1">
        <f>(F14/10)*H$1</f>
        <v>3.7802799999999997E-5</v>
      </c>
      <c r="J14" s="1">
        <v>2.0000000000000002E-5</v>
      </c>
    </row>
    <row r="15" spans="1:10" x14ac:dyDescent="0.25">
      <c r="B15" t="s">
        <v>2</v>
      </c>
      <c r="C15" s="2">
        <v>0.68400000000000005</v>
      </c>
      <c r="D15" s="1">
        <f>C15*D$14</f>
        <v>1.2516858000000004E-5</v>
      </c>
      <c r="F15" t="s">
        <v>2</v>
      </c>
      <c r="G15" s="3">
        <v>0.71499999999999997</v>
      </c>
      <c r="H15" s="1">
        <f>G15*H$14</f>
        <v>2.7029001999999997E-5</v>
      </c>
    </row>
    <row r="16" spans="1:10" x14ac:dyDescent="0.25">
      <c r="B16" t="s">
        <v>1</v>
      </c>
      <c r="C16" s="2">
        <v>0.316</v>
      </c>
      <c r="D16" s="1">
        <f>C16*D$14</f>
        <v>5.7826420000000011E-6</v>
      </c>
      <c r="F16" t="s">
        <v>1</v>
      </c>
      <c r="G16" s="3">
        <v>0.27600000000000002</v>
      </c>
      <c r="H16" s="1">
        <f>G16*H$14</f>
        <v>1.0433572799999999E-5</v>
      </c>
    </row>
    <row r="17" spans="1:11" x14ac:dyDescent="0.25">
      <c r="A17" t="s">
        <v>10</v>
      </c>
      <c r="B17">
        <v>0.6</v>
      </c>
      <c r="D17" s="1">
        <f>(B17/10)*D$1</f>
        <v>2.1959399999999998E-5</v>
      </c>
      <c r="F17">
        <v>0.4</v>
      </c>
      <c r="H17" s="1">
        <f>(F17/10)*H$1</f>
        <v>2.16016E-5</v>
      </c>
      <c r="K17">
        <v>0.26500000000000001</v>
      </c>
    </row>
    <row r="18" spans="1:11" x14ac:dyDescent="0.25">
      <c r="B18" t="s">
        <v>11</v>
      </c>
      <c r="C18" s="2">
        <v>0.78500000000000003</v>
      </c>
      <c r="D18" s="1">
        <f>C18*D$17</f>
        <v>1.7238128999999999E-5</v>
      </c>
      <c r="F18" t="s">
        <v>11</v>
      </c>
      <c r="G18" s="3">
        <v>0.71899999999999997</v>
      </c>
      <c r="H18" s="1">
        <f>G18*H$17</f>
        <v>1.5531550399999998E-5</v>
      </c>
    </row>
    <row r="19" spans="1:11" x14ac:dyDescent="0.25">
      <c r="B19" t="s">
        <v>13</v>
      </c>
      <c r="C19" s="2">
        <v>0.215</v>
      </c>
      <c r="D19" s="1">
        <f>C19*D$17</f>
        <v>4.7212709999999998E-6</v>
      </c>
      <c r="F19" t="s">
        <v>13</v>
      </c>
      <c r="G19" s="3">
        <v>0.25800000000000001</v>
      </c>
      <c r="H19" s="1">
        <f>G19*H$17</f>
        <v>5.5732128000000001E-6</v>
      </c>
    </row>
    <row r="20" spans="1:11" x14ac:dyDescent="0.25">
      <c r="A20" s="4" t="s">
        <v>14</v>
      </c>
      <c r="B20">
        <v>0.6</v>
      </c>
      <c r="D20" s="1">
        <f>(B20/10)*D$1</f>
        <v>2.1959399999999998E-5</v>
      </c>
      <c r="F20">
        <v>0.8</v>
      </c>
      <c r="H20" s="1">
        <f>(F20/10)*H$1</f>
        <v>4.32032E-5</v>
      </c>
      <c r="J20" s="1">
        <v>4.3000000000000002E-5</v>
      </c>
    </row>
    <row r="21" spans="1:11" x14ac:dyDescent="0.25">
      <c r="B21" t="s">
        <v>6</v>
      </c>
      <c r="C21" s="2">
        <v>0.498</v>
      </c>
      <c r="D21" s="1">
        <f>C21*D$20</f>
        <v>1.0935781199999999E-5</v>
      </c>
      <c r="F21" t="s">
        <v>6</v>
      </c>
      <c r="G21" s="3">
        <v>0.97399999999999998</v>
      </c>
      <c r="H21" s="1">
        <f>G21*H$20</f>
        <v>4.20799168E-5</v>
      </c>
    </row>
    <row r="22" spans="1:11" x14ac:dyDescent="0.25">
      <c r="B22" t="s">
        <v>15</v>
      </c>
      <c r="C22" s="2">
        <v>0.502</v>
      </c>
      <c r="D22" s="1">
        <f>C22*D$20</f>
        <v>1.1023618799999999E-5</v>
      </c>
      <c r="F22" t="s">
        <v>15</v>
      </c>
      <c r="G22" s="3">
        <v>2.4E-2</v>
      </c>
      <c r="H22" s="1">
        <f>G22*H$20</f>
        <v>1.0368768000000001E-6</v>
      </c>
    </row>
    <row r="23" spans="1:11" x14ac:dyDescent="0.25">
      <c r="A23" s="4" t="s">
        <v>16</v>
      </c>
      <c r="B23">
        <v>0.3</v>
      </c>
      <c r="D23" s="1">
        <f>(B23/10)*D$1</f>
        <v>1.0979699999999999E-5</v>
      </c>
      <c r="F23">
        <v>0.5</v>
      </c>
      <c r="H23" s="1">
        <f>(F23/10)*H$1</f>
        <v>2.7002E-5</v>
      </c>
      <c r="K23">
        <v>0.5</v>
      </c>
    </row>
    <row r="24" spans="1:11" x14ac:dyDescent="0.25">
      <c r="B24" t="s">
        <v>2</v>
      </c>
      <c r="C24" s="2">
        <v>0.78</v>
      </c>
      <c r="D24" s="1">
        <f>C24*D$23</f>
        <v>8.5641660000000004E-6</v>
      </c>
      <c r="F24" t="s">
        <v>2</v>
      </c>
      <c r="G24" s="3">
        <v>0.83199999999999996</v>
      </c>
      <c r="H24" s="1">
        <f>G24*H$23</f>
        <v>2.2465663999999999E-5</v>
      </c>
    </row>
    <row r="25" spans="1:11" x14ac:dyDescent="0.25">
      <c r="B25" t="s">
        <v>3</v>
      </c>
      <c r="C25" s="2">
        <v>0.112</v>
      </c>
      <c r="D25" s="1">
        <f t="shared" ref="D25:D26" si="6">C25*D$23</f>
        <v>1.2297263999999999E-6</v>
      </c>
      <c r="F25" t="s">
        <v>3</v>
      </c>
      <c r="G25" s="3">
        <v>7.0000000000000007E-2</v>
      </c>
      <c r="H25" s="1">
        <f t="shared" ref="H25:H26" si="7">G25*H$23</f>
        <v>1.8901400000000002E-6</v>
      </c>
    </row>
    <row r="26" spans="1:11" x14ac:dyDescent="0.25">
      <c r="B26" t="s">
        <v>1</v>
      </c>
      <c r="C26" s="2">
        <v>0.108</v>
      </c>
      <c r="D26" s="1">
        <f t="shared" si="6"/>
        <v>1.1858076E-6</v>
      </c>
      <c r="F26" t="s">
        <v>1</v>
      </c>
      <c r="G26" s="3">
        <v>7.0000000000000007E-2</v>
      </c>
      <c r="H26" s="1">
        <f t="shared" si="7"/>
        <v>1.8901400000000002E-6</v>
      </c>
    </row>
    <row r="27" spans="1:11" x14ac:dyDescent="0.25">
      <c r="A27" t="s">
        <v>17</v>
      </c>
      <c r="B27">
        <v>0.2</v>
      </c>
      <c r="D27" s="1">
        <f>(B27/10)*D$1</f>
        <v>7.3198000000000006E-6</v>
      </c>
      <c r="H27" s="1"/>
      <c r="J27" s="1">
        <v>1E-4</v>
      </c>
    </row>
    <row r="28" spans="1:11" x14ac:dyDescent="0.25">
      <c r="B28" t="s">
        <v>12</v>
      </c>
      <c r="C28" s="2">
        <v>1</v>
      </c>
      <c r="D28" s="1">
        <f>C28*D$27</f>
        <v>7.3198000000000006E-6</v>
      </c>
      <c r="H28" s="1">
        <f>G28*H$27</f>
        <v>0</v>
      </c>
    </row>
    <row r="29" spans="1:11" x14ac:dyDescent="0.25">
      <c r="A29" t="s">
        <v>40</v>
      </c>
      <c r="B29">
        <v>0.3</v>
      </c>
      <c r="D29" s="1">
        <f>(B29/10)*D$1</f>
        <v>1.0979699999999999E-5</v>
      </c>
      <c r="F29">
        <v>0.4</v>
      </c>
      <c r="H29" s="1">
        <f>(F29/10)*H$1</f>
        <v>2.16016E-5</v>
      </c>
      <c r="K29">
        <v>1</v>
      </c>
    </row>
    <row r="30" spans="1:11" x14ac:dyDescent="0.25">
      <c r="B30" t="s">
        <v>21</v>
      </c>
      <c r="C30" s="2">
        <v>1</v>
      </c>
      <c r="D30" s="1">
        <f>C30*D$29</f>
        <v>1.0979699999999999E-5</v>
      </c>
      <c r="F30" t="s">
        <v>21</v>
      </c>
      <c r="G30" s="3">
        <v>1</v>
      </c>
      <c r="H30" s="1">
        <f>G30*H$29</f>
        <v>2.16016E-5</v>
      </c>
    </row>
    <row r="31" spans="1:11" x14ac:dyDescent="0.25">
      <c r="A31" t="s">
        <v>38</v>
      </c>
      <c r="B31">
        <v>0.2</v>
      </c>
      <c r="D31" s="1">
        <f>(B31/10)*D$1</f>
        <v>7.3198000000000006E-6</v>
      </c>
      <c r="H31" s="1"/>
      <c r="J31" s="1">
        <v>2.5000000000000001E-4</v>
      </c>
    </row>
    <row r="32" spans="1:11" x14ac:dyDescent="0.25">
      <c r="B32" t="s">
        <v>2</v>
      </c>
      <c r="C32" s="2">
        <v>0.87</v>
      </c>
      <c r="D32" s="1">
        <f>C32*D$31</f>
        <v>6.3682260000000006E-6</v>
      </c>
      <c r="H32" s="1">
        <f>G32*H$31</f>
        <v>0</v>
      </c>
    </row>
    <row r="33" spans="1:11" x14ac:dyDescent="0.25">
      <c r="B33" t="s">
        <v>7</v>
      </c>
      <c r="C33" s="2">
        <v>0.13</v>
      </c>
      <c r="D33" s="1">
        <f>C33*D$31</f>
        <v>9.5157400000000015E-7</v>
      </c>
      <c r="H33" s="1">
        <f>G33*H$31</f>
        <v>0</v>
      </c>
    </row>
    <row r="34" spans="1:11" x14ac:dyDescent="0.25">
      <c r="A34" t="s">
        <v>39</v>
      </c>
      <c r="D34" s="1"/>
      <c r="F34">
        <v>0.8</v>
      </c>
      <c r="G34" s="2"/>
      <c r="H34" s="1">
        <f>(F34/10)*H$1</f>
        <v>4.32032E-5</v>
      </c>
      <c r="K34">
        <v>1.5</v>
      </c>
    </row>
    <row r="35" spans="1:11" x14ac:dyDescent="0.25">
      <c r="D35" s="1"/>
      <c r="F35" t="s">
        <v>6</v>
      </c>
      <c r="G35" s="2">
        <v>0.99399999999999999</v>
      </c>
      <c r="H35" s="1">
        <f>G35*H34</f>
        <v>4.2943980799999999E-5</v>
      </c>
    </row>
    <row r="36" spans="1:11" x14ac:dyDescent="0.25">
      <c r="A36" s="4" t="s">
        <v>40</v>
      </c>
      <c r="B36">
        <v>0.3</v>
      </c>
      <c r="D36" s="1">
        <f>(B36/10)*D$1</f>
        <v>1.0979699999999999E-5</v>
      </c>
      <c r="F36">
        <v>0.6</v>
      </c>
      <c r="G36" s="2"/>
      <c r="H36" s="1">
        <f>(F36/10)*H$1</f>
        <v>3.24024E-5</v>
      </c>
    </row>
    <row r="37" spans="1:11" x14ac:dyDescent="0.25">
      <c r="B37" t="s">
        <v>21</v>
      </c>
      <c r="C37" s="2">
        <v>1</v>
      </c>
      <c r="D37" s="1">
        <f>C37*D$36</f>
        <v>1.0979699999999999E-5</v>
      </c>
      <c r="F37" t="s">
        <v>21</v>
      </c>
      <c r="G37" s="2">
        <v>0.68100000000000005</v>
      </c>
      <c r="H37" s="1">
        <f>G37*H$36</f>
        <v>2.2066034400000001E-5</v>
      </c>
    </row>
    <row r="38" spans="1:11" x14ac:dyDescent="0.25">
      <c r="F38" t="s">
        <v>6</v>
      </c>
      <c r="G38" s="2">
        <v>0.31</v>
      </c>
      <c r="H38" s="1">
        <f>G38*H$36</f>
        <v>1.0044743999999999E-5</v>
      </c>
    </row>
    <row r="40" spans="1:11" x14ac:dyDescent="0.25">
      <c r="A40" t="s">
        <v>18</v>
      </c>
      <c r="B40">
        <v>0.1</v>
      </c>
      <c r="D40" s="1">
        <f>(B40/10)*D$1</f>
        <v>3.6599000000000003E-6</v>
      </c>
      <c r="H40" s="1"/>
    </row>
    <row r="41" spans="1:11" x14ac:dyDescent="0.25">
      <c r="B41" t="s">
        <v>2</v>
      </c>
      <c r="C41" s="2">
        <v>1</v>
      </c>
      <c r="D41" s="1">
        <f>C41*D$40</f>
        <v>3.6599000000000003E-6</v>
      </c>
      <c r="H41" s="1"/>
    </row>
    <row r="42" spans="1:11" x14ac:dyDescent="0.25">
      <c r="A42" t="s">
        <v>19</v>
      </c>
      <c r="B42">
        <v>0.2</v>
      </c>
      <c r="D42" s="1">
        <f>(B42/10)*D$1</f>
        <v>7.3198000000000006E-6</v>
      </c>
      <c r="F42">
        <v>0.4</v>
      </c>
      <c r="H42" s="1">
        <f>(F42/10)*H$1</f>
        <v>2.16016E-5</v>
      </c>
    </row>
    <row r="43" spans="1:11" x14ac:dyDescent="0.25">
      <c r="B43" t="s">
        <v>2</v>
      </c>
      <c r="C43" s="2">
        <v>1</v>
      </c>
      <c r="D43" s="1">
        <f>C43*D$42</f>
        <v>7.3198000000000006E-6</v>
      </c>
      <c r="F43" t="s">
        <v>2</v>
      </c>
      <c r="G43" s="3">
        <v>1</v>
      </c>
      <c r="H43" s="1">
        <f>G43*H$42</f>
        <v>2.16016E-5</v>
      </c>
    </row>
    <row r="44" spans="1:11" x14ac:dyDescent="0.25">
      <c r="A44" t="s">
        <v>20</v>
      </c>
      <c r="B44">
        <v>6.9</v>
      </c>
      <c r="D44" s="1">
        <f>(B44/10)*D$1</f>
        <v>2.5253310000000002E-4</v>
      </c>
      <c r="F44">
        <v>6.4</v>
      </c>
      <c r="H44" s="1">
        <f>(F44/10)*H$1</f>
        <v>3.456256E-4</v>
      </c>
    </row>
    <row r="45" spans="1:11" x14ac:dyDescent="0.25">
      <c r="B45" t="s">
        <v>1</v>
      </c>
      <c r="C45" s="2">
        <v>0.78400000000000003</v>
      </c>
      <c r="D45" s="1">
        <f>C45*D$44</f>
        <v>1.9798595040000001E-4</v>
      </c>
      <c r="F45" t="s">
        <v>1</v>
      </c>
      <c r="G45" s="3">
        <v>0.68899999999999995</v>
      </c>
      <c r="H45" s="1">
        <f>G45*H$44</f>
        <v>2.3813603839999999E-4</v>
      </c>
    </row>
    <row r="46" spans="1:11" x14ac:dyDescent="0.25">
      <c r="B46" t="s">
        <v>3</v>
      </c>
      <c r="C46" s="2">
        <v>0.216</v>
      </c>
      <c r="D46" s="1">
        <f>C46*D$44</f>
        <v>5.4547149600000002E-5</v>
      </c>
      <c r="F46" t="s">
        <v>3</v>
      </c>
      <c r="G46" s="3">
        <v>0.311</v>
      </c>
      <c r="H46" s="1">
        <f>G46*H$44</f>
        <v>1.074895616E-4</v>
      </c>
    </row>
    <row r="47" spans="1:11" x14ac:dyDescent="0.25">
      <c r="A47" t="s">
        <v>23</v>
      </c>
      <c r="B47">
        <v>1.5</v>
      </c>
      <c r="D47" s="1">
        <f>(B47/10)*D$1</f>
        <v>5.4898499999999996E-5</v>
      </c>
      <c r="F47">
        <v>2</v>
      </c>
      <c r="H47" s="1">
        <f>(F47/10)*H$1</f>
        <v>1.08008E-4</v>
      </c>
    </row>
    <row r="48" spans="1:11" x14ac:dyDescent="0.25">
      <c r="B48" t="s">
        <v>3</v>
      </c>
      <c r="C48" s="2">
        <v>1</v>
      </c>
      <c r="D48" s="1">
        <f>C48*D$47</f>
        <v>5.4898499999999996E-5</v>
      </c>
      <c r="F48" t="s">
        <v>3</v>
      </c>
      <c r="G48" s="3">
        <v>1</v>
      </c>
      <c r="H48" s="1">
        <f>G48*H$47</f>
        <v>1.08008E-4</v>
      </c>
    </row>
    <row r="49" spans="1:8" x14ac:dyDescent="0.25">
      <c r="A49" t="s">
        <v>24</v>
      </c>
      <c r="B49">
        <v>3.6</v>
      </c>
      <c r="D49" s="1">
        <f>(B49/10)*D$1</f>
        <v>1.3175639999999999E-4</v>
      </c>
      <c r="F49">
        <v>2.8</v>
      </c>
      <c r="H49" s="1">
        <f>(F49/10)*H$1</f>
        <v>1.5121119999999999E-4</v>
      </c>
    </row>
    <row r="50" spans="1:8" x14ac:dyDescent="0.25">
      <c r="B50" t="s">
        <v>13</v>
      </c>
      <c r="C50" s="2">
        <v>0.35899999999999999</v>
      </c>
      <c r="D50" s="1">
        <f>C50*D$49</f>
        <v>4.7300547599999997E-5</v>
      </c>
      <c r="F50" t="s">
        <v>13</v>
      </c>
      <c r="G50" s="3">
        <v>0.34899999999999998</v>
      </c>
      <c r="H50" s="1">
        <f>G50*H$49</f>
        <v>5.2772708799999992E-5</v>
      </c>
    </row>
    <row r="51" spans="1:8" x14ac:dyDescent="0.25">
      <c r="B51" t="s">
        <v>25</v>
      </c>
      <c r="C51" s="2">
        <v>0.25800000000000001</v>
      </c>
      <c r="D51" s="1">
        <f t="shared" ref="D51:D56" si="8">C51*$D$49</f>
        <v>3.3993151200000001E-5</v>
      </c>
      <c r="F51" t="s">
        <v>25</v>
      </c>
      <c r="G51" s="3">
        <v>0.20699999999999999</v>
      </c>
      <c r="H51" s="1">
        <f t="shared" ref="H51:H56" si="9">G51*$D$49</f>
        <v>2.7273574799999998E-5</v>
      </c>
    </row>
    <row r="52" spans="1:8" x14ac:dyDescent="0.25">
      <c r="B52" t="s">
        <v>26</v>
      </c>
      <c r="C52" s="2">
        <v>0.13900000000000001</v>
      </c>
      <c r="D52" s="1">
        <f t="shared" si="8"/>
        <v>1.8314139600000001E-5</v>
      </c>
      <c r="F52" t="s">
        <v>26</v>
      </c>
      <c r="G52" s="3">
        <v>4.8000000000000001E-2</v>
      </c>
      <c r="H52" s="1">
        <f t="shared" si="9"/>
        <v>6.3243071999999996E-6</v>
      </c>
    </row>
    <row r="53" spans="1:8" x14ac:dyDescent="0.25">
      <c r="B53" t="s">
        <v>21</v>
      </c>
      <c r="C53" s="2">
        <v>9.9000000000000005E-2</v>
      </c>
      <c r="D53" s="1">
        <f t="shared" si="8"/>
        <v>1.30438836E-5</v>
      </c>
      <c r="F53" t="s">
        <v>21</v>
      </c>
      <c r="G53" s="3">
        <v>0.17299999999999999</v>
      </c>
      <c r="H53" s="1">
        <f t="shared" si="9"/>
        <v>2.2793857199999998E-5</v>
      </c>
    </row>
    <row r="54" spans="1:8" x14ac:dyDescent="0.25">
      <c r="B54" t="s">
        <v>28</v>
      </c>
      <c r="C54" s="2">
        <v>6.3E-2</v>
      </c>
      <c r="D54" s="1">
        <f t="shared" si="8"/>
        <v>8.3006531999999996E-6</v>
      </c>
      <c r="F54" t="s">
        <v>28</v>
      </c>
      <c r="G54" s="3">
        <v>0.158</v>
      </c>
      <c r="H54" s="1">
        <f t="shared" si="9"/>
        <v>2.0817511199999998E-5</v>
      </c>
    </row>
    <row r="55" spans="1:8" x14ac:dyDescent="0.25">
      <c r="B55" t="s">
        <v>27</v>
      </c>
      <c r="C55" s="2">
        <v>4.2000000000000003E-2</v>
      </c>
      <c r="D55" s="1">
        <f t="shared" si="8"/>
        <v>5.5337687999999998E-6</v>
      </c>
      <c r="F55" t="s">
        <v>27</v>
      </c>
      <c r="H55" s="1">
        <f t="shared" si="9"/>
        <v>0</v>
      </c>
    </row>
    <row r="56" spans="1:8" x14ac:dyDescent="0.25">
      <c r="B56" t="s">
        <v>7</v>
      </c>
      <c r="C56" s="2">
        <v>4.1000000000000002E-2</v>
      </c>
      <c r="D56" s="1">
        <f t="shared" si="8"/>
        <v>5.4020124000000002E-6</v>
      </c>
      <c r="F56" t="s">
        <v>7</v>
      </c>
      <c r="G56" s="3">
        <v>5.2999999999999999E-2</v>
      </c>
      <c r="H56" s="1">
        <f t="shared" si="9"/>
        <v>6.983089199999999E-6</v>
      </c>
    </row>
    <row r="57" spans="1:8" x14ac:dyDescent="0.25">
      <c r="A57" t="s">
        <v>29</v>
      </c>
      <c r="B57">
        <v>5.8</v>
      </c>
      <c r="D57" s="1">
        <f>(B57/10)*D$1</f>
        <v>2.1227419999999999E-4</v>
      </c>
      <c r="F57">
        <v>5.0999999999999996</v>
      </c>
      <c r="H57" s="1">
        <f>(F57/10)*H$1</f>
        <v>2.7542039999999999E-4</v>
      </c>
    </row>
    <row r="58" spans="1:8" x14ac:dyDescent="0.25">
      <c r="B58" t="s">
        <v>15</v>
      </c>
      <c r="C58" s="2">
        <v>0.69099999999999995</v>
      </c>
      <c r="D58" s="1">
        <f>C58*D$57</f>
        <v>1.4668147219999998E-4</v>
      </c>
      <c r="F58" t="s">
        <v>15</v>
      </c>
      <c r="G58" s="3">
        <v>0.86899999999999999</v>
      </c>
      <c r="H58" s="1">
        <f>G58*H$57</f>
        <v>2.3934032759999999E-4</v>
      </c>
    </row>
    <row r="59" spans="1:8" x14ac:dyDescent="0.25">
      <c r="B59" t="s">
        <v>7</v>
      </c>
      <c r="C59" s="2">
        <v>0.214</v>
      </c>
      <c r="D59" s="1">
        <f t="shared" ref="D59:D61" si="10">C59*D$57</f>
        <v>4.5426678799999996E-5</v>
      </c>
      <c r="F59" t="s">
        <v>7</v>
      </c>
      <c r="G59" s="3">
        <v>0.04</v>
      </c>
      <c r="H59" s="1">
        <f t="shared" ref="H59:H61" si="11">G59*H$57</f>
        <v>1.1016816E-5</v>
      </c>
    </row>
    <row r="60" spans="1:8" x14ac:dyDescent="0.25">
      <c r="B60" t="s">
        <v>30</v>
      </c>
      <c r="C60" s="2">
        <v>7.5999999999999998E-2</v>
      </c>
      <c r="D60" s="1">
        <f t="shared" si="10"/>
        <v>1.6132839199999999E-5</v>
      </c>
      <c r="F60" t="s">
        <v>30</v>
      </c>
      <c r="G60" s="3">
        <v>6.9000000000000006E-2</v>
      </c>
      <c r="H60" s="1">
        <f t="shared" si="11"/>
        <v>1.9004007600000002E-5</v>
      </c>
    </row>
    <row r="61" spans="1:8" x14ac:dyDescent="0.25">
      <c r="B61" t="s">
        <v>31</v>
      </c>
      <c r="C61" s="2">
        <v>1.7999999999999999E-2</v>
      </c>
      <c r="D61" s="1">
        <f t="shared" si="10"/>
        <v>3.8209355999999997E-6</v>
      </c>
      <c r="F61" t="s">
        <v>31</v>
      </c>
      <c r="G61" s="3">
        <v>1.4999999999999999E-2</v>
      </c>
      <c r="H61" s="1">
        <f t="shared" si="11"/>
        <v>4.1313059999999995E-6</v>
      </c>
    </row>
    <row r="62" spans="1:8" x14ac:dyDescent="0.25">
      <c r="A62" t="s">
        <v>32</v>
      </c>
      <c r="B62">
        <v>5.8</v>
      </c>
      <c r="D62" s="1">
        <f>(B62/10)*D$1</f>
        <v>2.1227419999999999E-4</v>
      </c>
      <c r="F62">
        <v>4.8</v>
      </c>
      <c r="H62" s="1">
        <f>(F62/10)*H$1</f>
        <v>2.592192E-4</v>
      </c>
    </row>
    <row r="63" spans="1:8" x14ac:dyDescent="0.25">
      <c r="B63" t="s">
        <v>33</v>
      </c>
      <c r="C63" s="2">
        <v>0.94299999999999995</v>
      </c>
      <c r="D63" s="1">
        <f>C63*D$62</f>
        <v>2.0017457059999999E-4</v>
      </c>
      <c r="F63" t="s">
        <v>33</v>
      </c>
      <c r="G63" s="3">
        <v>0.91800000000000004</v>
      </c>
      <c r="H63" s="1">
        <f>G63*H$62</f>
        <v>2.379632256E-4</v>
      </c>
    </row>
    <row r="64" spans="1:8" x14ac:dyDescent="0.25">
      <c r="B64" t="s">
        <v>21</v>
      </c>
      <c r="C64" s="2">
        <v>0.04</v>
      </c>
      <c r="D64" s="1">
        <f t="shared" ref="D64:D65" si="12">C64*D$62</f>
        <v>8.4909679999999996E-6</v>
      </c>
      <c r="F64" t="s">
        <v>21</v>
      </c>
      <c r="G64" s="3">
        <v>4.1000000000000002E-2</v>
      </c>
      <c r="H64" s="1">
        <f t="shared" ref="H64:H65" si="13">G64*H$62</f>
        <v>1.06279872E-5</v>
      </c>
    </row>
    <row r="65" spans="1:8" x14ac:dyDescent="0.25">
      <c r="B65" t="s">
        <v>34</v>
      </c>
      <c r="C65" s="2">
        <v>1.7000000000000001E-2</v>
      </c>
      <c r="D65" s="1">
        <f t="shared" si="12"/>
        <v>3.6086614E-6</v>
      </c>
      <c r="F65" t="s">
        <v>34</v>
      </c>
      <c r="G65" s="3">
        <v>4.1000000000000002E-2</v>
      </c>
      <c r="H65" s="1">
        <f t="shared" si="13"/>
        <v>1.06279872E-5</v>
      </c>
    </row>
    <row r="66" spans="1:8" x14ac:dyDescent="0.25">
      <c r="A66" t="s">
        <v>35</v>
      </c>
      <c r="B66">
        <v>10</v>
      </c>
      <c r="D66" s="1">
        <f>(B66/10)*D$1</f>
        <v>3.6599000000000001E-4</v>
      </c>
      <c r="F66">
        <v>10</v>
      </c>
      <c r="H66" s="1">
        <f>(F66/10)*H$1</f>
        <v>5.4003999999999999E-4</v>
      </c>
    </row>
    <row r="67" spans="1:8" x14ac:dyDescent="0.25">
      <c r="B67" t="s">
        <v>33</v>
      </c>
      <c r="C67" s="2">
        <v>0.54300000000000004</v>
      </c>
      <c r="D67" s="1">
        <f>C67*D$66</f>
        <v>1.9873257000000002E-4</v>
      </c>
      <c r="F67" t="s">
        <v>33</v>
      </c>
      <c r="G67" s="3">
        <v>0.44</v>
      </c>
      <c r="H67" s="1">
        <f>G67*H$66</f>
        <v>2.3761759999999999E-4</v>
      </c>
    </row>
    <row r="68" spans="1:8" x14ac:dyDescent="0.25">
      <c r="B68" t="s">
        <v>26</v>
      </c>
      <c r="C68" s="2">
        <v>3.1099999999999999E-2</v>
      </c>
      <c r="D68" s="1">
        <f t="shared" ref="D68:D74" si="14">C68*D$66</f>
        <v>1.1382288999999999E-5</v>
      </c>
      <c r="F68" t="s">
        <v>26</v>
      </c>
      <c r="G68" s="3">
        <v>0.34200000000000003</v>
      </c>
      <c r="H68" s="1">
        <f>G68*H$66</f>
        <v>1.8469368000000001E-4</v>
      </c>
    </row>
    <row r="69" spans="1:8" x14ac:dyDescent="0.25">
      <c r="B69" t="s">
        <v>13</v>
      </c>
      <c r="C69" s="2">
        <v>6.2E-2</v>
      </c>
      <c r="D69" s="1">
        <f t="shared" si="14"/>
        <v>2.269138E-5</v>
      </c>
      <c r="F69" t="s">
        <v>13</v>
      </c>
      <c r="G69" s="3">
        <v>0.128</v>
      </c>
      <c r="H69" s="1">
        <f>G69*H$66</f>
        <v>6.9125119999999995E-5</v>
      </c>
    </row>
    <row r="70" spans="1:8" x14ac:dyDescent="0.25">
      <c r="B70" t="s">
        <v>12</v>
      </c>
      <c r="C70" s="2">
        <v>0.02</v>
      </c>
      <c r="D70" s="1">
        <f t="shared" si="14"/>
        <v>7.3198000000000006E-6</v>
      </c>
      <c r="F70" t="s">
        <v>12</v>
      </c>
      <c r="G70" s="3">
        <v>5.6000000000000001E-2</v>
      </c>
      <c r="H70" s="1">
        <f>G70*H$66</f>
        <v>3.0242239999999999E-5</v>
      </c>
    </row>
    <row r="71" spans="1:8" x14ac:dyDescent="0.25">
      <c r="B71" t="s">
        <v>21</v>
      </c>
      <c r="C71" s="2">
        <v>1.6E-2</v>
      </c>
      <c r="D71" s="1">
        <f t="shared" si="14"/>
        <v>5.8558400000000002E-6</v>
      </c>
      <c r="F71" t="s">
        <v>21</v>
      </c>
      <c r="G71" s="3">
        <v>1.9E-2</v>
      </c>
      <c r="H71" s="1">
        <f>G71*H$66</f>
        <v>1.0260759999999999E-5</v>
      </c>
    </row>
    <row r="72" spans="1:8" x14ac:dyDescent="0.25">
      <c r="B72" t="s">
        <v>25</v>
      </c>
      <c r="C72" s="2">
        <v>1.6E-2</v>
      </c>
      <c r="D72" s="1">
        <f t="shared" si="14"/>
        <v>5.8558400000000002E-6</v>
      </c>
      <c r="F72" t="s">
        <v>25</v>
      </c>
      <c r="H72" s="1"/>
    </row>
    <row r="73" spans="1:8" x14ac:dyDescent="0.25">
      <c r="B73" t="s">
        <v>7</v>
      </c>
      <c r="C73" s="2">
        <v>1.2999999999999999E-2</v>
      </c>
      <c r="D73" s="1">
        <f t="shared" si="14"/>
        <v>4.7578700000000002E-6</v>
      </c>
      <c r="F73" t="s">
        <v>7</v>
      </c>
      <c r="H73" s="1"/>
    </row>
    <row r="74" spans="1:8" x14ac:dyDescent="0.25">
      <c r="B74" t="s">
        <v>36</v>
      </c>
      <c r="C74" s="2">
        <v>1.0999999999999999E-2</v>
      </c>
      <c r="D74" s="1">
        <f t="shared" si="14"/>
        <v>4.02589E-6</v>
      </c>
      <c r="F74" t="s">
        <v>36</v>
      </c>
      <c r="H74" s="1"/>
    </row>
    <row r="75" spans="1:8" x14ac:dyDescent="0.25">
      <c r="A75" t="s">
        <v>37</v>
      </c>
      <c r="B75">
        <v>2.9</v>
      </c>
      <c r="D75" s="1">
        <f>(B75/10)*D$1</f>
        <v>1.061371E-4</v>
      </c>
      <c r="F75">
        <v>2.1</v>
      </c>
      <c r="H75" s="1">
        <f>(F75/10)*H$1</f>
        <v>1.1340840000000001E-4</v>
      </c>
    </row>
    <row r="76" spans="1:8" x14ac:dyDescent="0.25">
      <c r="B76" t="s">
        <v>6</v>
      </c>
      <c r="C76" s="2">
        <v>1</v>
      </c>
      <c r="D76" s="1">
        <f>C76*D$75</f>
        <v>1.061371E-4</v>
      </c>
      <c r="F76" t="s">
        <v>6</v>
      </c>
      <c r="G76" s="3">
        <v>1</v>
      </c>
      <c r="H76" s="1">
        <f>G76*H$75</f>
        <v>1.1340840000000001E-4</v>
      </c>
    </row>
    <row r="78" spans="1:8" x14ac:dyDescent="0.25">
      <c r="D78" s="1"/>
      <c r="H78" s="1"/>
    </row>
    <row r="79" spans="1:8" x14ac:dyDescent="0.25">
      <c r="H79" s="1">
        <f>MEDIAN(H29,H2:H23,H34:H36,D2:D31,H42:H75,D36:D75)</f>
        <v>2.0817511199999998E-5</v>
      </c>
    </row>
    <row r="80" spans="1:8" x14ac:dyDescent="0.25">
      <c r="F80">
        <f>PERCENTILE(D81:D118,0.25)</f>
        <v>2.16016E-5</v>
      </c>
      <c r="H80" s="1"/>
    </row>
    <row r="81" spans="4:6" x14ac:dyDescent="0.25">
      <c r="D81">
        <v>3.6599000000000003E-6</v>
      </c>
      <c r="F81">
        <f>MEDIAN(D81:D118)</f>
        <v>4.32032E-5</v>
      </c>
    </row>
    <row r="82" spans="4:6" x14ac:dyDescent="0.25">
      <c r="D82">
        <v>7.3198000000000006E-6</v>
      </c>
      <c r="F82">
        <f>_xlfn.PERCENTILE.EXC(D81:D118,0.75)</f>
        <v>1.6647694999999998E-4</v>
      </c>
    </row>
    <row r="83" spans="4:6" x14ac:dyDescent="0.25">
      <c r="D83">
        <v>7.3198000000000006E-6</v>
      </c>
    </row>
    <row r="84" spans="4:6" x14ac:dyDescent="0.25">
      <c r="D84">
        <v>7.3198000000000006E-6</v>
      </c>
    </row>
    <row r="85" spans="4:6" x14ac:dyDescent="0.25">
      <c r="D85">
        <v>1.0979699999999999E-5</v>
      </c>
    </row>
    <row r="86" spans="4:6" x14ac:dyDescent="0.25">
      <c r="D86">
        <v>1.0979699999999999E-5</v>
      </c>
    </row>
    <row r="87" spans="4:6" x14ac:dyDescent="0.25">
      <c r="D87" s="1">
        <v>1.0979699999999999E-5</v>
      </c>
    </row>
    <row r="88" spans="4:6" x14ac:dyDescent="0.25">
      <c r="D88">
        <v>1.8299500000000003E-5</v>
      </c>
    </row>
    <row r="89" spans="4:6" x14ac:dyDescent="0.25">
      <c r="D89">
        <v>1.8299500000000003E-5</v>
      </c>
    </row>
    <row r="90" spans="4:6" x14ac:dyDescent="0.25">
      <c r="D90">
        <v>2.16016E-5</v>
      </c>
    </row>
    <row r="91" spans="4:6" x14ac:dyDescent="0.25">
      <c r="D91">
        <v>2.16016E-5</v>
      </c>
    </row>
    <row r="92" spans="4:6" x14ac:dyDescent="0.25">
      <c r="D92">
        <v>2.16016E-5</v>
      </c>
    </row>
    <row r="93" spans="4:6" x14ac:dyDescent="0.25">
      <c r="D93">
        <v>2.16016E-5</v>
      </c>
    </row>
    <row r="94" spans="4:6" x14ac:dyDescent="0.25">
      <c r="D94">
        <v>2.1959399999999998E-5</v>
      </c>
    </row>
    <row r="95" spans="4:6" x14ac:dyDescent="0.25">
      <c r="D95">
        <v>2.1959399999999998E-5</v>
      </c>
    </row>
    <row r="96" spans="4:6" x14ac:dyDescent="0.25">
      <c r="D96">
        <v>2.7002E-5</v>
      </c>
    </row>
    <row r="97" spans="4:4" x14ac:dyDescent="0.25">
      <c r="D97">
        <v>3.24024E-5</v>
      </c>
    </row>
    <row r="98" spans="4:4" x14ac:dyDescent="0.25">
      <c r="D98">
        <v>3.7802799999999997E-5</v>
      </c>
    </row>
    <row r="99" spans="4:4" x14ac:dyDescent="0.25">
      <c r="D99">
        <v>4.32032E-5</v>
      </c>
    </row>
    <row r="100" spans="4:4" x14ac:dyDescent="0.25">
      <c r="D100">
        <v>4.32032E-5</v>
      </c>
    </row>
    <row r="101" spans="4:4" x14ac:dyDescent="0.25">
      <c r="D101">
        <v>5.4898499999999996E-5</v>
      </c>
    </row>
    <row r="102" spans="4:4" x14ac:dyDescent="0.25">
      <c r="D102">
        <v>7.6857900000000008E-5</v>
      </c>
    </row>
    <row r="103" spans="4:4" x14ac:dyDescent="0.25">
      <c r="D103">
        <v>1.061371E-4</v>
      </c>
    </row>
    <row r="104" spans="4:4" x14ac:dyDescent="0.25">
      <c r="D104">
        <v>1.08008E-4</v>
      </c>
    </row>
    <row r="105" spans="4:4" x14ac:dyDescent="0.25">
      <c r="D105">
        <v>1.1340840000000001E-4</v>
      </c>
    </row>
    <row r="106" spans="4:4" x14ac:dyDescent="0.25">
      <c r="D106">
        <v>1.3175639999999999E-4</v>
      </c>
    </row>
    <row r="107" spans="4:4" x14ac:dyDescent="0.25">
      <c r="D107">
        <v>1.4581080000000002E-4</v>
      </c>
    </row>
    <row r="108" spans="4:4" x14ac:dyDescent="0.25">
      <c r="D108">
        <v>1.4639600000000003E-4</v>
      </c>
    </row>
    <row r="109" spans="4:4" x14ac:dyDescent="0.25">
      <c r="D109">
        <v>1.5121119999999999E-4</v>
      </c>
    </row>
    <row r="110" spans="4:4" x14ac:dyDescent="0.25">
      <c r="D110">
        <v>2.1227419999999999E-4</v>
      </c>
    </row>
    <row r="111" spans="4:4" x14ac:dyDescent="0.25">
      <c r="D111">
        <v>2.1227419999999999E-4</v>
      </c>
    </row>
    <row r="112" spans="4:4" x14ac:dyDescent="0.25">
      <c r="D112">
        <v>2.2141639999999997E-4</v>
      </c>
    </row>
    <row r="113" spans="4:4" x14ac:dyDescent="0.25">
      <c r="D113">
        <v>2.5253310000000002E-4</v>
      </c>
    </row>
    <row r="114" spans="4:4" x14ac:dyDescent="0.25">
      <c r="D114">
        <v>2.592192E-4</v>
      </c>
    </row>
    <row r="115" spans="4:4" x14ac:dyDescent="0.25">
      <c r="D115">
        <v>2.7542039999999999E-4</v>
      </c>
    </row>
    <row r="116" spans="4:4" x14ac:dyDescent="0.25">
      <c r="D116">
        <v>3.456256E-4</v>
      </c>
    </row>
    <row r="117" spans="4:4" x14ac:dyDescent="0.25">
      <c r="D117">
        <v>3.6599000000000001E-4</v>
      </c>
    </row>
    <row r="118" spans="4:4" x14ac:dyDescent="0.25">
      <c r="D118">
        <v>5.4003999999999999E-4</v>
      </c>
    </row>
  </sheetData>
  <autoFilter ref="A1:H76" xr:uid="{3283EA79-3C91-424F-96E1-9983A360E255}"/>
  <sortState xmlns:xlrd2="http://schemas.microsoft.com/office/spreadsheetml/2017/richdata2" ref="D81:D118">
    <sortCondition ref="D81:D118"/>
  </sortState>
  <conditionalFormatting sqref="D2:D75 H2:H75">
    <cfRule type="cellIs" dxfId="3" priority="1" operator="greaterThan">
      <formula>$J$31</formula>
    </cfRule>
    <cfRule type="cellIs" dxfId="2" priority="2" operator="between">
      <formula>$J$27</formula>
      <formula>$J$31</formula>
    </cfRule>
    <cfRule type="cellIs" dxfId="1" priority="3" operator="between">
      <formula>$J$20</formula>
      <formula>$J$27</formula>
    </cfRule>
    <cfRule type="cellIs" dxfId="0" priority="4" operator="between">
      <formula>$J$14</formula>
      <formula>$J$20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Urothiyil Aahil Ashraf</dc:creator>
  <cp:lastModifiedBy>Urothiyil Aahil Ashraf</cp:lastModifiedBy>
  <dcterms:created xsi:type="dcterms:W3CDTF">2026-07-22T08:43:40Z</dcterms:created>
  <dcterms:modified xsi:type="dcterms:W3CDTF">2026-07-25T12:39:22Z</dcterms:modified>
</cp:coreProperties>
</file>